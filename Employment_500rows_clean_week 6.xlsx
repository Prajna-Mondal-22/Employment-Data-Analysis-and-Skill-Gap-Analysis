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8537f09c46ab68/Desktop/python/GNCIPL/week 6/"/>
    </mc:Choice>
  </mc:AlternateContent>
  <xr:revisionPtr revIDLastSave="0" documentId="13_ncr:1_{D5530D28-A840-4FBF-BC38-0E54AC81ADC2}" xr6:coauthVersionLast="47" xr6:coauthVersionMax="47" xr10:uidLastSave="{00000000-0000-0000-0000-000000000000}"/>
  <bookViews>
    <workbookView xWindow="-113" yWindow="-113" windowWidth="20260" windowHeight="10769" activeTab="1" xr2:uid="{2A353E3E-C3FF-40E0-9300-0593A54B1118}"/>
  </bookViews>
  <sheets>
    <sheet name="raw data " sheetId="2" r:id="rId1"/>
    <sheet name="clean 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D4" i="1"/>
  <c r="D2" i="1"/>
  <c r="D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</calcChain>
</file>

<file path=xl/sharedStrings.xml><?xml version="1.0" encoding="utf-8"?>
<sst xmlns="http://schemas.openxmlformats.org/spreadsheetml/2006/main" count="7033" uniqueCount="539">
  <si>
    <t>EmployeeID</t>
  </si>
  <si>
    <t>Name</t>
  </si>
  <si>
    <t>Age</t>
  </si>
  <si>
    <t>Gender</t>
  </si>
  <si>
    <t>Region</t>
  </si>
  <si>
    <t>EducationLevel</t>
  </si>
  <si>
    <t>EmploymentStatus</t>
  </si>
  <si>
    <t>YearsExperience</t>
  </si>
  <si>
    <t>CurrentJobID</t>
  </si>
  <si>
    <t>TrainingProgramID</t>
  </si>
  <si>
    <t>Salary</t>
  </si>
  <si>
    <t>Department</t>
  </si>
  <si>
    <t>SkillScore</t>
  </si>
  <si>
    <t>PerformanceRating</t>
  </si>
  <si>
    <t>City</t>
  </si>
  <si>
    <t>Employee_1</t>
  </si>
  <si>
    <t>Male</t>
  </si>
  <si>
    <t>South</t>
  </si>
  <si>
    <t>Master</t>
  </si>
  <si>
    <t>Part-Time</t>
  </si>
  <si>
    <t>IT</t>
  </si>
  <si>
    <t>Kolkata</t>
  </si>
  <si>
    <t>Employee_2</t>
  </si>
  <si>
    <t>Female</t>
  </si>
  <si>
    <t>North</t>
  </si>
  <si>
    <t>High School</t>
  </si>
  <si>
    <t>Employed</t>
  </si>
  <si>
    <t>Finance</t>
  </si>
  <si>
    <t>Employee_3</t>
  </si>
  <si>
    <t>Unemployed</t>
  </si>
  <si>
    <t>HR</t>
  </si>
  <si>
    <t>Mumbai</t>
  </si>
  <si>
    <t>Employee_4</t>
  </si>
  <si>
    <t>Diploma</t>
  </si>
  <si>
    <t>Employee_5</t>
  </si>
  <si>
    <t>Employee_6</t>
  </si>
  <si>
    <t>Chennai</t>
  </si>
  <si>
    <t>Employee_7</t>
  </si>
  <si>
    <t>Sales</t>
  </si>
  <si>
    <t>Employee_8</t>
  </si>
  <si>
    <t>Delhi</t>
  </si>
  <si>
    <t>Employee_9</t>
  </si>
  <si>
    <t>Employee_10</t>
  </si>
  <si>
    <t>East</t>
  </si>
  <si>
    <t>Employee_11</t>
  </si>
  <si>
    <t>West</t>
  </si>
  <si>
    <t>Bachelor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</si>
  <si>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</si>
  <si>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</si>
  <si>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</si>
  <si>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</si>
  <si>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</si>
  <si>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</si>
  <si>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</si>
  <si>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</si>
  <si>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</si>
  <si>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</si>
  <si>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</si>
  <si>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</si>
  <si>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</si>
  <si>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</si>
  <si>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</si>
  <si>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</si>
  <si>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</si>
  <si>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</si>
  <si>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</si>
  <si>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</si>
  <si>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</si>
  <si>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</si>
  <si>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</si>
  <si>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</si>
  <si>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</si>
  <si>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</si>
  <si>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</si>
  <si>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</si>
  <si>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</si>
  <si>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</si>
  <si>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</si>
  <si>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</si>
  <si>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</si>
  <si>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</si>
  <si>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</si>
  <si>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</si>
  <si>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</si>
  <si>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</si>
  <si>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</si>
  <si>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</si>
  <si>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</si>
  <si>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</si>
  <si>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</si>
  <si>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</si>
  <si>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</si>
  <si>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</si>
  <si>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</si>
  <si>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</si>
  <si>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</si>
  <si>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</si>
  <si>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</si>
  <si>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</si>
  <si>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</si>
  <si>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</si>
  <si>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</si>
  <si>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</si>
  <si>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</si>
  <si>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</si>
  <si>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</si>
  <si>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</si>
  <si>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</si>
  <si>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</si>
  <si>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</si>
  <si>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</si>
  <si>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</si>
  <si>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</si>
  <si>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</si>
  <si>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</si>
  <si>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</si>
  <si>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</si>
  <si>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</si>
  <si>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</si>
  <si>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</si>
  <si>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</si>
  <si>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</si>
  <si>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</si>
  <si>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</si>
  <si>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</si>
  <si>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</si>
  <si>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</si>
  <si>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</si>
  <si>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</si>
  <si>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</si>
  <si>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</si>
  <si>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</si>
  <si>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</si>
  <si>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</si>
  <si>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</si>
  <si>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</si>
  <si>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</si>
  <si>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</si>
  <si>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</si>
  <si>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</si>
  <si>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</si>
  <si>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</si>
  <si>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</si>
  <si>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</si>
  <si>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</si>
  <si>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</si>
  <si>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</si>
  <si>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</si>
  <si>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</si>
  <si>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</si>
  <si>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</si>
  <si>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</si>
  <si>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</si>
  <si>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</si>
  <si>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</si>
  <si>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</si>
  <si>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</si>
  <si>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</si>
  <si>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</si>
  <si>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</si>
  <si>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</si>
  <si>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</si>
  <si>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</si>
  <si>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</si>
  <si>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</si>
  <si>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</si>
  <si>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</si>
  <si>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</si>
  <si>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</si>
  <si>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</si>
  <si>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</si>
  <si>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</si>
  <si>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</si>
  <si>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</si>
  <si>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</si>
  <si>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</si>
  <si>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</si>
  <si>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</si>
  <si>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</si>
  <si>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</si>
  <si>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</si>
  <si>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</si>
  <si>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</si>
  <si>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</si>
  <si>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</si>
  <si>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</si>
  <si>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</si>
  <si>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</si>
  <si>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</si>
  <si>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</si>
  <si>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</si>
  <si>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</si>
  <si>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</si>
  <si>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</si>
  <si>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</si>
  <si>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</si>
  <si>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</si>
  <si>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</si>
  <si>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</si>
  <si>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</si>
  <si>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</si>
  <si>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</si>
  <si>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</si>
  <si>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</si>
  <si>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</si>
  <si>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</si>
  <si>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</si>
  <si>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</si>
  <si>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</si>
  <si>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</si>
  <si>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</si>
  <si>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</si>
  <si>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</si>
  <si>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</si>
  <si>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</si>
  <si>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</si>
  <si>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</si>
  <si>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</si>
  <si>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</si>
  <si>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</si>
  <si>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</si>
  <si>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</si>
  <si>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</si>
  <si>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</si>
  <si>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</si>
  <si>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</si>
  <si>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</si>
  <si>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</si>
  <si>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</si>
  <si>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</si>
  <si>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</si>
  <si>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</si>
  <si>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</si>
  <si>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</si>
  <si>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</si>
  <si>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</si>
  <si>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</si>
  <si>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</si>
  <si>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</si>
  <si>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</si>
  <si>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</si>
  <si>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</si>
  <si>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</si>
  <si>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</si>
  <si>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</si>
  <si>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</si>
  <si>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</si>
  <si>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</si>
  <si>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</si>
  <si>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</si>
  <si>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</si>
  <si>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</si>
  <si>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</si>
  <si>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</si>
  <si>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</si>
  <si>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</si>
  <si>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</si>
  <si>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</si>
  <si>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</si>
  <si>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</si>
  <si>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</si>
  <si>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</si>
  <si>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</si>
  <si>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</si>
  <si>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</si>
  <si>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</si>
  <si>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</si>
  <si>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</si>
  <si>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</si>
  <si>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</si>
  <si>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</si>
  <si>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</si>
  <si>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</si>
  <si>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</si>
  <si>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</si>
  <si>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</si>
  <si>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</si>
  <si>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</si>
  <si>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</si>
  <si>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</si>
  <si>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</si>
  <si>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</si>
  <si>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</si>
  <si>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</si>
  <si>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</si>
  <si>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</si>
  <si>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</si>
  <si>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</si>
  <si>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</si>
  <si>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</si>
  <si>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</si>
  <si>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</si>
  <si>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</si>
  <si>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</si>
  <si>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</si>
  <si>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</si>
  <si>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</si>
  <si>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</si>
  <si>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</si>
  <si>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</si>
  <si>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</si>
  <si>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</si>
  <si>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</si>
  <si>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</si>
  <si>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</si>
  <si>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</si>
  <si>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</si>
  <si>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</si>
  <si>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</si>
  <si>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</si>
  <si>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</si>
  <si>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</si>
  <si>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</si>
  <si>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</si>
  <si>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</si>
  <si>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</si>
  <si>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</si>
  <si>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</si>
  <si>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</si>
  <si>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</si>
  <si>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</si>
  <si>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</si>
  <si>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</si>
  <si>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</si>
  <si>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</si>
  <si>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</si>
  <si>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</si>
  <si>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</si>
  <si>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</si>
  <si>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</si>
  <si>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</si>
  <si>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</si>
  <si>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</si>
  <si>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</si>
  <si>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</si>
  <si>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</si>
  <si>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</si>
  <si>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</si>
  <si>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</si>
  <si>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</si>
  <si>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</si>
  <si>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</si>
  <si>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</si>
  <si>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</si>
  <si>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</si>
  <si>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</si>
  <si>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</si>
  <si>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</si>
  <si>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</si>
  <si>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</si>
  <si>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</si>
  <si>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</si>
  <si>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</si>
  <si>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</si>
  <si>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</si>
  <si>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</si>
  <si>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</si>
  <si>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</si>
  <si>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</si>
  <si>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</si>
  <si>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</si>
  <si>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</si>
  <si>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</si>
  <si>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</si>
  <si>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</si>
  <si>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</si>
  <si>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</si>
  <si>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</si>
  <si>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</si>
  <si>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</si>
  <si>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</si>
  <si>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</si>
  <si>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</si>
  <si>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</si>
  <si>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</si>
  <si>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</si>
  <si>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</si>
  <si>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</si>
  <si>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</si>
  <si>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</si>
  <si>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</si>
  <si>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</si>
  <si>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</si>
  <si>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</si>
  <si>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</si>
  <si>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</si>
  <si>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</si>
  <si>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</si>
  <si>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</si>
  <si>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</si>
  <si>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</si>
  <si>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</si>
  <si>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</si>
  <si>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</si>
  <si>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</si>
  <si>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</si>
  <si>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</si>
  <si>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</si>
  <si>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</si>
  <si>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</si>
  <si>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</si>
  <si>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</si>
  <si>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</si>
  <si>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</si>
  <si>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</si>
  <si>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</si>
  <si>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</si>
  <si>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</si>
  <si>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</si>
  <si>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</si>
  <si>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</si>
  <si>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</si>
  <si>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</si>
  <si>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</si>
  <si>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</si>
  <si>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</si>
  <si>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</si>
  <si>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</si>
  <si>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</si>
  <si>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</si>
  <si>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</si>
  <si>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</si>
  <si>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</si>
  <si>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</si>
  <si>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</si>
  <si>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</si>
  <si>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</si>
  <si>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</si>
  <si>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</si>
  <si>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</si>
  <si>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</si>
  <si>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</si>
  <si>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</si>
  <si>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</si>
  <si>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</si>
  <si>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</si>
  <si>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</si>
  <si>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</si>
  <si>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</si>
  <si>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</si>
  <si>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</si>
  <si>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</si>
  <si>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</si>
  <si>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</si>
  <si>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</si>
  <si>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</si>
  <si>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</si>
  <si>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</si>
  <si>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</si>
  <si>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</si>
  <si>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</si>
  <si>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</si>
  <si>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</si>
  <si>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</si>
  <si>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</si>
  <si>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</si>
  <si>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</si>
  <si>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</si>
  <si>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</si>
  <si>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</si>
  <si>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</si>
  <si>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</si>
  <si>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</si>
  <si>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</si>
  <si>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</si>
  <si>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</si>
  <si>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</si>
  <si>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</si>
  <si>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</si>
  <si>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</si>
  <si>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</si>
  <si>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</si>
  <si>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</si>
  <si>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</si>
  <si>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</si>
  <si>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</si>
  <si>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</si>
  <si>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</si>
  <si>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</si>
  <si>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</si>
  <si>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</si>
  <si>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</si>
  <si>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</si>
  <si>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</si>
  <si>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</si>
  <si>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</si>
  <si>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</si>
  <si>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</si>
  <si>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</si>
  <si>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</si>
  <si>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</si>
  <si>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</si>
  <si>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</si>
  <si>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</si>
  <si>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</si>
  <si>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</si>
  <si>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</si>
  <si>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</si>
  <si>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</si>
  <si>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</si>
  <si>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</si>
  <si>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</si>
  <si>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</si>
  <si>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</si>
  <si>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</si>
  <si>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</si>
  <si>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</si>
  <si>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</si>
  <si>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</si>
  <si>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</si>
  <si>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</si>
  <si>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</si>
  <si>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</si>
  <si>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</si>
  <si>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</si>
  <si>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</si>
  <si>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</si>
  <si>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</si>
  <si>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</si>
  <si>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</si>
  <si>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</si>
  <si>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</si>
  <si>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</si>
  <si>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</si>
  <si>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</si>
  <si>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</si>
  <si>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</si>
  <si>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</si>
  <si>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</si>
  <si>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</si>
  <si>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</si>
  <si>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</si>
  <si>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</si>
  <si>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</si>
  <si>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</si>
  <si>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</si>
  <si>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 xml:space="preserve">AgeCategory </t>
  </si>
  <si>
    <t>PerformanceCategory</t>
  </si>
  <si>
    <t>YearsExperienceCategory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</si>
</sst>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33" borderId="0" xfId="0" applyFill="1"/>
    <xf numFmtId="0" fontId="0" fillId="33" borderId="12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33" borderId="18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86E158-9C29-4032-8DD0-C14D81A9892B}" name="Table1" displayName="Table1" ref="A1:R501" totalsRowShown="0" headerRowDxfId="22" dataDxfId="20" headerRowBorderDxfId="21" tableBorderDxfId="19" totalsRowBorderDxfId="18">
  <autoFilter ref="A1:R501" xr:uid="{2786E158-9C29-4032-8DD0-C14D81A9892B}"/>
  <tableColumns count="18">
    <tableColumn id="1" xr3:uid="{F7B23B90-9D04-4768-BBB3-74BC2CA1FE56}" name="EmployeeID" dataDxfId="17"/>
    <tableColumn id="2" xr3:uid="{1C526DC7-5EC3-41CB-A3AD-450DC6D2E44D}" name="Name" dataDxfId="16"/>
    <tableColumn id="3" xr3:uid="{1163BF43-7A71-4764-BE71-0D0C845E4DAE}" name="Age" dataDxfId="15"/>
    <tableColumn id="16" xr3:uid="{4B946535-7400-4041-B95C-C35B8452676D}" name="AgeCategory " dataDxfId="14">
      <calculatedColumnFormula>IF(AND(C2&gt;=20,C2&lt;=30),"Young",IF(AND(C2&gt;30,C2&lt;=40),"Mid Age",IF(AND(C2&gt;40,C2&lt;=50),"Elder",IF(AND(C2&gt;50,C2&lt;=59),"Senior","Other"))))</calculatedColumnFormula>
    </tableColumn>
    <tableColumn id="4" xr3:uid="{1FC11BEA-C332-4AD9-88D1-420659BD93BA}" name="Gender" dataDxfId="13"/>
    <tableColumn id="5" xr3:uid="{FC7365FA-94B4-4805-8874-808FA506961E}" name="Region" dataDxfId="12"/>
    <tableColumn id="6" xr3:uid="{C656B138-04B9-483F-BACB-24355796016C}" name="EducationLevel" dataDxfId="11"/>
    <tableColumn id="7" xr3:uid="{EF4A20D4-1B8C-4297-A950-13A0B81A57B3}" name="EmploymentStatus" dataDxfId="10"/>
    <tableColumn id="8" xr3:uid="{2912A03B-535D-4E3D-8BB7-59C737327D8D}" name="YearsExperience" dataDxfId="9"/>
    <tableColumn id="18" xr3:uid="{FB4DEFA6-4A66-4A71-8CA5-9CC6F2559006}" name="YearsExperienceCategory" dataDxfId="8">
      <calculatedColumnFormula>IF(I2&lt;=2,"Beginner",IF(I2&lt;=5,"Junior",IF(I2&lt;=10,"Mid-level",IF(I2&lt;=15,"Senior","Expert"))))</calculatedColumnFormula>
    </tableColumn>
    <tableColumn id="9" xr3:uid="{981AEF99-312B-4AD7-A5B4-FA2C1A87866C}" name="CurrentJobID" dataDxfId="7"/>
    <tableColumn id="10" xr3:uid="{96682726-2D88-4A09-828D-87191876107C}" name="TrainingProgramID" dataDxfId="6"/>
    <tableColumn id="11" xr3:uid="{DA993CFB-3311-4FDE-B78F-170FD9866AAC}" name="Salary" dataDxfId="5"/>
    <tableColumn id="12" xr3:uid="{6467168E-065E-403C-93E5-2BFE1B4DECFB}" name="Department" dataDxfId="4"/>
    <tableColumn id="13" xr3:uid="{D4336694-6AAE-4AD2-A01D-BCB9D5895D40}" name="SkillScore" dataDxfId="3"/>
    <tableColumn id="14" xr3:uid="{059862C4-EAD1-4D4D-84D6-CE84D344D515}" name="PerformanceRating" dataDxfId="2"/>
    <tableColumn id="17" xr3:uid="{C5DC92CE-FEFA-4BF6-8230-F755FB4ACED3}" name="PerformanceCategory" dataDxfId="1">
      <calculatedColumnFormula>IF(P2=1,"Poor",IF(P2=2,"Average",IF(P2=3,"Good",IF(P2=4,"Excellent","Unknown"))))</calculatedColumnFormula>
    </tableColumn>
    <tableColumn id="15" xr3:uid="{7BD00213-1CC8-4A93-B6FD-4497F8B8A3FE}" name="Cit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27313-20E8-492F-9E85-CA56F393435D}">
  <dimension ref="A1:O501"/>
  <sheetViews>
    <sheetView topLeftCell="D1" workbookViewId="0">
      <selection activeCell="F1" sqref="F1"/>
    </sheetView>
  </sheetViews>
  <sheetFormatPr defaultRowHeight="15.05" x14ac:dyDescent="0.3"/>
  <cols>
    <col min="6" max="6" width="13.44140625" bestFit="1" customWidth="1"/>
    <col min="7" max="7" width="16.33203125" bestFit="1" customWidth="1"/>
    <col min="8" max="8" width="14.44140625" bestFit="1" customWidth="1"/>
    <col min="9" max="9" width="11.6640625" bestFit="1" customWidth="1"/>
    <col min="10" max="10" width="16.21875" bestFit="1" customWidth="1"/>
    <col min="12" max="12" width="10.77734375" bestFit="1" customWidth="1"/>
    <col min="14" max="14" width="16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>
        <v>58</v>
      </c>
      <c r="D2" t="s">
        <v>16</v>
      </c>
      <c r="E2" t="s">
        <v>17</v>
      </c>
      <c r="F2" t="s">
        <v>18</v>
      </c>
      <c r="G2" t="s">
        <v>19</v>
      </c>
      <c r="H2">
        <v>9</v>
      </c>
      <c r="I2">
        <v>1001</v>
      </c>
      <c r="J2">
        <v>5001</v>
      </c>
      <c r="K2">
        <v>100102</v>
      </c>
      <c r="L2" t="s">
        <v>20</v>
      </c>
      <c r="M2">
        <v>86</v>
      </c>
      <c r="N2">
        <v>4</v>
      </c>
      <c r="O2" t="s">
        <v>21</v>
      </c>
    </row>
    <row r="3" spans="1:15" x14ac:dyDescent="0.3">
      <c r="A3">
        <v>2</v>
      </c>
      <c r="B3" t="s">
        <v>22</v>
      </c>
      <c r="C3">
        <v>48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1002</v>
      </c>
      <c r="J3">
        <v>5002</v>
      </c>
      <c r="K3">
        <v>99578</v>
      </c>
      <c r="L3" t="s">
        <v>27</v>
      </c>
      <c r="M3">
        <v>24</v>
      </c>
      <c r="N3">
        <v>1</v>
      </c>
      <c r="O3" t="s">
        <v>21</v>
      </c>
    </row>
    <row r="4" spans="1:15" x14ac:dyDescent="0.3">
      <c r="A4">
        <v>3</v>
      </c>
      <c r="B4" t="s">
        <v>28</v>
      </c>
      <c r="C4">
        <v>34</v>
      </c>
      <c r="D4" t="s">
        <v>23</v>
      </c>
      <c r="E4" t="s">
        <v>24</v>
      </c>
      <c r="F4" t="s">
        <v>25</v>
      </c>
      <c r="G4" t="s">
        <v>29</v>
      </c>
      <c r="H4">
        <v>13</v>
      </c>
      <c r="I4">
        <v>1003</v>
      </c>
      <c r="J4">
        <v>5003</v>
      </c>
      <c r="K4">
        <v>45498</v>
      </c>
      <c r="L4" t="s">
        <v>30</v>
      </c>
      <c r="M4">
        <v>19</v>
      </c>
      <c r="N4">
        <v>3</v>
      </c>
      <c r="O4" t="s">
        <v>31</v>
      </c>
    </row>
    <row r="5" spans="1:15" x14ac:dyDescent="0.3">
      <c r="A5">
        <v>4</v>
      </c>
      <c r="B5" t="s">
        <v>32</v>
      </c>
      <c r="C5">
        <v>27</v>
      </c>
      <c r="D5" t="s">
        <v>16</v>
      </c>
      <c r="E5" t="s">
        <v>24</v>
      </c>
      <c r="F5" t="s">
        <v>33</v>
      </c>
      <c r="G5" t="s">
        <v>19</v>
      </c>
      <c r="H5">
        <v>8</v>
      </c>
      <c r="I5">
        <v>1004</v>
      </c>
      <c r="J5">
        <v>5004</v>
      </c>
      <c r="K5">
        <v>96865</v>
      </c>
      <c r="L5" t="s">
        <v>27</v>
      </c>
      <c r="M5">
        <v>37</v>
      </c>
      <c r="N5">
        <v>4</v>
      </c>
      <c r="O5" t="s">
        <v>21</v>
      </c>
    </row>
    <row r="6" spans="1:15" x14ac:dyDescent="0.3">
      <c r="A6">
        <v>5</v>
      </c>
      <c r="B6" t="s">
        <v>34</v>
      </c>
      <c r="C6">
        <v>40</v>
      </c>
      <c r="D6" t="s">
        <v>23</v>
      </c>
      <c r="E6" t="s">
        <v>24</v>
      </c>
      <c r="F6" t="s">
        <v>18</v>
      </c>
      <c r="G6" t="s">
        <v>19</v>
      </c>
      <c r="H6">
        <v>2</v>
      </c>
      <c r="I6">
        <v>1005</v>
      </c>
      <c r="J6">
        <v>5005</v>
      </c>
      <c r="K6">
        <v>51656</v>
      </c>
      <c r="L6" t="s">
        <v>20</v>
      </c>
      <c r="M6">
        <v>85</v>
      </c>
      <c r="N6">
        <v>1</v>
      </c>
      <c r="O6" t="s">
        <v>21</v>
      </c>
    </row>
    <row r="7" spans="1:15" x14ac:dyDescent="0.3">
      <c r="A7">
        <v>6</v>
      </c>
      <c r="B7" t="s">
        <v>35</v>
      </c>
      <c r="C7">
        <v>58</v>
      </c>
      <c r="D7" t="s">
        <v>16</v>
      </c>
      <c r="E7" t="s">
        <v>17</v>
      </c>
      <c r="F7" t="s">
        <v>33</v>
      </c>
      <c r="G7" t="s">
        <v>29</v>
      </c>
      <c r="H7">
        <v>7</v>
      </c>
      <c r="I7">
        <v>1006</v>
      </c>
      <c r="J7">
        <v>5006</v>
      </c>
      <c r="K7">
        <v>87695</v>
      </c>
      <c r="L7" t="s">
        <v>27</v>
      </c>
      <c r="M7">
        <v>8</v>
      </c>
      <c r="N7">
        <v>1</v>
      </c>
      <c r="O7" t="s">
        <v>36</v>
      </c>
    </row>
    <row r="8" spans="1:15" x14ac:dyDescent="0.3">
      <c r="A8">
        <v>7</v>
      </c>
      <c r="B8" t="s">
        <v>37</v>
      </c>
      <c r="C8">
        <v>38</v>
      </c>
      <c r="D8" t="s">
        <v>23</v>
      </c>
      <c r="E8" t="s">
        <v>24</v>
      </c>
      <c r="F8" t="s">
        <v>25</v>
      </c>
      <c r="G8" t="s">
        <v>29</v>
      </c>
      <c r="H8">
        <v>15</v>
      </c>
      <c r="I8">
        <v>1007</v>
      </c>
      <c r="J8">
        <v>5007</v>
      </c>
      <c r="K8">
        <v>57900</v>
      </c>
      <c r="L8" t="s">
        <v>38</v>
      </c>
      <c r="M8">
        <v>28</v>
      </c>
      <c r="N8">
        <v>4</v>
      </c>
      <c r="O8" t="s">
        <v>31</v>
      </c>
    </row>
    <row r="9" spans="1:15" x14ac:dyDescent="0.3">
      <c r="A9">
        <v>8</v>
      </c>
      <c r="B9" t="s">
        <v>39</v>
      </c>
      <c r="C9">
        <v>42</v>
      </c>
      <c r="D9" t="s">
        <v>16</v>
      </c>
      <c r="E9" t="s">
        <v>17</v>
      </c>
      <c r="F9" t="s">
        <v>33</v>
      </c>
      <c r="G9" t="s">
        <v>29</v>
      </c>
      <c r="H9">
        <v>1</v>
      </c>
      <c r="I9">
        <v>1008</v>
      </c>
      <c r="J9">
        <v>5008</v>
      </c>
      <c r="K9">
        <v>104899</v>
      </c>
      <c r="L9" t="s">
        <v>27</v>
      </c>
      <c r="M9">
        <v>5</v>
      </c>
      <c r="N9">
        <v>3</v>
      </c>
      <c r="O9" t="s">
        <v>40</v>
      </c>
    </row>
    <row r="10" spans="1:15" x14ac:dyDescent="0.3">
      <c r="A10">
        <v>9</v>
      </c>
      <c r="B10" t="s">
        <v>41</v>
      </c>
      <c r="C10">
        <v>30</v>
      </c>
      <c r="D10" t="s">
        <v>16</v>
      </c>
      <c r="E10" t="s">
        <v>17</v>
      </c>
      <c r="F10" t="s">
        <v>25</v>
      </c>
      <c r="G10" t="s">
        <v>26</v>
      </c>
      <c r="H10">
        <v>5</v>
      </c>
      <c r="I10">
        <v>1009</v>
      </c>
      <c r="J10">
        <v>5009</v>
      </c>
      <c r="K10">
        <v>67701</v>
      </c>
      <c r="L10" t="s">
        <v>20</v>
      </c>
      <c r="M10">
        <v>17</v>
      </c>
      <c r="N10">
        <v>1</v>
      </c>
      <c r="O10" t="s">
        <v>36</v>
      </c>
    </row>
    <row r="11" spans="1:15" x14ac:dyDescent="0.3">
      <c r="A11">
        <v>10</v>
      </c>
      <c r="B11" t="s">
        <v>42</v>
      </c>
      <c r="C11">
        <v>30</v>
      </c>
      <c r="D11" t="s">
        <v>16</v>
      </c>
      <c r="E11" t="s">
        <v>43</v>
      </c>
      <c r="F11" t="s">
        <v>18</v>
      </c>
      <c r="G11" t="s">
        <v>26</v>
      </c>
      <c r="H11">
        <v>11</v>
      </c>
      <c r="I11">
        <v>1010</v>
      </c>
      <c r="J11">
        <v>5010</v>
      </c>
      <c r="K11">
        <v>39033</v>
      </c>
      <c r="L11" t="s">
        <v>38</v>
      </c>
      <c r="M11">
        <v>36</v>
      </c>
      <c r="N11">
        <v>2</v>
      </c>
      <c r="O11" t="s">
        <v>36</v>
      </c>
    </row>
    <row r="12" spans="1:15" x14ac:dyDescent="0.3">
      <c r="A12">
        <v>11</v>
      </c>
      <c r="B12" t="s">
        <v>44</v>
      </c>
      <c r="C12">
        <v>43</v>
      </c>
      <c r="D12" t="s">
        <v>23</v>
      </c>
      <c r="E12" t="s">
        <v>45</v>
      </c>
      <c r="F12" t="s">
        <v>46</v>
      </c>
      <c r="G12" t="s">
        <v>19</v>
      </c>
      <c r="H12">
        <v>4</v>
      </c>
      <c r="I12">
        <v>1011</v>
      </c>
      <c r="J12">
        <v>5011</v>
      </c>
      <c r="K12">
        <v>30805</v>
      </c>
      <c r="L12" t="s">
        <v>27</v>
      </c>
      <c r="M12">
        <v>19</v>
      </c>
      <c r="N12">
        <v>3</v>
      </c>
      <c r="O12" t="s">
        <v>40</v>
      </c>
    </row>
    <row r="13" spans="1:15" x14ac:dyDescent="0.3">
      <c r="A13">
        <v>12</v>
      </c>
      <c r="B13" t="s">
        <v>47</v>
      </c>
      <c r="C13">
        <v>55</v>
      </c>
      <c r="D13" t="s">
        <v>16</v>
      </c>
      <c r="E13" t="s">
        <v>45</v>
      </c>
      <c r="F13" t="s">
        <v>18</v>
      </c>
      <c r="G13" t="s">
        <v>29</v>
      </c>
      <c r="H13">
        <v>1</v>
      </c>
      <c r="I13">
        <v>1012</v>
      </c>
      <c r="J13">
        <v>5012</v>
      </c>
      <c r="K13">
        <v>55851</v>
      </c>
      <c r="L13" t="s">
        <v>27</v>
      </c>
      <c r="M13">
        <v>64</v>
      </c>
      <c r="N13">
        <v>3</v>
      </c>
      <c r="O13" t="s">
        <v>36</v>
      </c>
    </row>
    <row r="14" spans="1:15" x14ac:dyDescent="0.3">
      <c r="A14">
        <v>13</v>
      </c>
      <c r="B14" t="s">
        <v>48</v>
      </c>
      <c r="C14">
        <v>59</v>
      </c>
      <c r="D14" t="s">
        <v>23</v>
      </c>
      <c r="E14" t="s">
        <v>17</v>
      </c>
      <c r="F14" t="s">
        <v>33</v>
      </c>
      <c r="G14" t="s">
        <v>26</v>
      </c>
      <c r="H14">
        <v>15</v>
      </c>
      <c r="I14">
        <v>1013</v>
      </c>
      <c r="J14">
        <v>5013</v>
      </c>
      <c r="K14">
        <v>46832</v>
      </c>
      <c r="L14" t="s">
        <v>38</v>
      </c>
      <c r="M14">
        <v>91</v>
      </c>
      <c r="N14">
        <v>4</v>
      </c>
      <c r="O14" t="s">
        <v>31</v>
      </c>
    </row>
    <row r="15" spans="1:15" x14ac:dyDescent="0.3">
      <c r="A15">
        <v>14</v>
      </c>
      <c r="B15" t="s">
        <v>49</v>
      </c>
      <c r="C15">
        <v>43</v>
      </c>
      <c r="D15" t="s">
        <v>16</v>
      </c>
      <c r="E15" t="s">
        <v>43</v>
      </c>
      <c r="F15" t="s">
        <v>33</v>
      </c>
      <c r="G15" t="s">
        <v>29</v>
      </c>
      <c r="H15">
        <v>4</v>
      </c>
      <c r="I15">
        <v>1014</v>
      </c>
      <c r="J15">
        <v>5014</v>
      </c>
      <c r="K15">
        <v>83437</v>
      </c>
      <c r="L15" t="s">
        <v>30</v>
      </c>
      <c r="M15">
        <v>98</v>
      </c>
      <c r="N15">
        <v>4</v>
      </c>
      <c r="O15" t="s">
        <v>21</v>
      </c>
    </row>
    <row r="16" spans="1:15" x14ac:dyDescent="0.3">
      <c r="A16">
        <v>15</v>
      </c>
      <c r="B16" t="s">
        <v>50</v>
      </c>
      <c r="C16">
        <v>22</v>
      </c>
      <c r="D16" t="s">
        <v>16</v>
      </c>
      <c r="E16" t="s">
        <v>17</v>
      </c>
      <c r="F16" t="s">
        <v>18</v>
      </c>
      <c r="G16" t="s">
        <v>19</v>
      </c>
      <c r="H16">
        <v>14</v>
      </c>
      <c r="I16">
        <v>1015</v>
      </c>
      <c r="J16">
        <v>5015</v>
      </c>
      <c r="K16">
        <v>33944</v>
      </c>
      <c r="L16" t="s">
        <v>38</v>
      </c>
      <c r="M16">
        <v>11</v>
      </c>
      <c r="N16">
        <v>2</v>
      </c>
      <c r="O16" t="s">
        <v>31</v>
      </c>
    </row>
    <row r="17" spans="1:15" x14ac:dyDescent="0.3">
      <c r="A17">
        <v>16</v>
      </c>
      <c r="B17" t="s">
        <v>51</v>
      </c>
      <c r="C17">
        <v>41</v>
      </c>
      <c r="D17" t="s">
        <v>23</v>
      </c>
      <c r="E17" t="s">
        <v>17</v>
      </c>
      <c r="F17" t="s">
        <v>18</v>
      </c>
      <c r="G17" t="s">
        <v>26</v>
      </c>
      <c r="H17">
        <v>11</v>
      </c>
      <c r="I17">
        <v>1016</v>
      </c>
      <c r="J17">
        <v>5016</v>
      </c>
      <c r="K17">
        <v>39873</v>
      </c>
      <c r="L17" t="s">
        <v>30</v>
      </c>
      <c r="M17">
        <v>54</v>
      </c>
      <c r="N17">
        <v>1</v>
      </c>
      <c r="O17" t="s">
        <v>40</v>
      </c>
    </row>
    <row r="18" spans="1:15" x14ac:dyDescent="0.3">
      <c r="A18">
        <v>17</v>
      </c>
      <c r="B18" t="s">
        <v>52</v>
      </c>
      <c r="C18">
        <v>21</v>
      </c>
      <c r="D18" t="s">
        <v>16</v>
      </c>
      <c r="E18" t="s">
        <v>17</v>
      </c>
      <c r="F18" t="s">
        <v>25</v>
      </c>
      <c r="G18" t="s">
        <v>26</v>
      </c>
      <c r="H18">
        <v>3</v>
      </c>
      <c r="I18">
        <v>1017</v>
      </c>
      <c r="J18">
        <v>5017</v>
      </c>
      <c r="K18">
        <v>60372</v>
      </c>
      <c r="L18" t="s">
        <v>20</v>
      </c>
      <c r="M18">
        <v>45</v>
      </c>
      <c r="N18">
        <v>4</v>
      </c>
      <c r="O18" t="s">
        <v>40</v>
      </c>
    </row>
    <row r="19" spans="1:15" x14ac:dyDescent="0.3">
      <c r="A19">
        <v>18</v>
      </c>
      <c r="B19" t="s">
        <v>53</v>
      </c>
      <c r="C19">
        <v>43</v>
      </c>
      <c r="D19" t="s">
        <v>16</v>
      </c>
      <c r="E19" t="s">
        <v>43</v>
      </c>
      <c r="F19" t="s">
        <v>33</v>
      </c>
      <c r="G19" t="s">
        <v>26</v>
      </c>
      <c r="H19">
        <v>14</v>
      </c>
      <c r="I19">
        <v>1018</v>
      </c>
      <c r="J19">
        <v>5018</v>
      </c>
      <c r="K19">
        <v>109464</v>
      </c>
      <c r="L19" t="s">
        <v>20</v>
      </c>
      <c r="M19">
        <v>47</v>
      </c>
      <c r="N19">
        <v>4</v>
      </c>
      <c r="O19" t="s">
        <v>36</v>
      </c>
    </row>
    <row r="20" spans="1:15" x14ac:dyDescent="0.3">
      <c r="A20">
        <v>19</v>
      </c>
      <c r="B20" t="s">
        <v>54</v>
      </c>
      <c r="C20">
        <v>49</v>
      </c>
      <c r="D20" t="s">
        <v>23</v>
      </c>
      <c r="E20" t="s">
        <v>45</v>
      </c>
      <c r="F20" t="s">
        <v>33</v>
      </c>
      <c r="G20" t="s">
        <v>19</v>
      </c>
      <c r="H20">
        <v>10</v>
      </c>
      <c r="I20">
        <v>1019</v>
      </c>
      <c r="J20">
        <v>5019</v>
      </c>
      <c r="K20">
        <v>35379</v>
      </c>
      <c r="L20" t="s">
        <v>38</v>
      </c>
      <c r="M20">
        <v>12</v>
      </c>
      <c r="N20">
        <v>3</v>
      </c>
      <c r="O20" t="s">
        <v>31</v>
      </c>
    </row>
    <row r="21" spans="1:15" x14ac:dyDescent="0.3">
      <c r="A21">
        <v>20</v>
      </c>
      <c r="B21" t="s">
        <v>55</v>
      </c>
      <c r="C21">
        <v>57</v>
      </c>
      <c r="D21" t="s">
        <v>16</v>
      </c>
      <c r="E21" t="s">
        <v>43</v>
      </c>
      <c r="F21" t="s">
        <v>18</v>
      </c>
      <c r="G21" t="s">
        <v>29</v>
      </c>
      <c r="H21">
        <v>15</v>
      </c>
      <c r="I21">
        <v>1020</v>
      </c>
      <c r="J21">
        <v>5020</v>
      </c>
      <c r="K21">
        <v>56751</v>
      </c>
      <c r="L21" t="s">
        <v>38</v>
      </c>
      <c r="M21">
        <v>21</v>
      </c>
      <c r="N21">
        <v>4</v>
      </c>
      <c r="O21" t="s">
        <v>31</v>
      </c>
    </row>
    <row r="22" spans="1:15" x14ac:dyDescent="0.3">
      <c r="A22">
        <v>21</v>
      </c>
      <c r="B22" t="s">
        <v>56</v>
      </c>
      <c r="C22">
        <v>21</v>
      </c>
      <c r="D22" t="s">
        <v>16</v>
      </c>
      <c r="E22" t="s">
        <v>24</v>
      </c>
      <c r="F22" t="s">
        <v>46</v>
      </c>
      <c r="G22" t="s">
        <v>26</v>
      </c>
      <c r="H22">
        <v>5</v>
      </c>
      <c r="I22">
        <v>1021</v>
      </c>
      <c r="J22">
        <v>5021</v>
      </c>
      <c r="K22">
        <v>109822</v>
      </c>
      <c r="L22" t="s">
        <v>20</v>
      </c>
      <c r="M22">
        <v>11</v>
      </c>
      <c r="N22">
        <v>4</v>
      </c>
      <c r="O22" t="s">
        <v>40</v>
      </c>
    </row>
    <row r="23" spans="1:15" x14ac:dyDescent="0.3">
      <c r="A23">
        <v>22</v>
      </c>
      <c r="B23" t="s">
        <v>57</v>
      </c>
      <c r="C23">
        <v>40</v>
      </c>
      <c r="D23" t="s">
        <v>16</v>
      </c>
      <c r="E23" t="s">
        <v>43</v>
      </c>
      <c r="F23" t="s">
        <v>33</v>
      </c>
      <c r="G23" t="s">
        <v>19</v>
      </c>
      <c r="H23">
        <v>13</v>
      </c>
      <c r="I23">
        <v>1022</v>
      </c>
      <c r="J23">
        <v>5022</v>
      </c>
      <c r="K23">
        <v>25110</v>
      </c>
      <c r="L23" t="s">
        <v>30</v>
      </c>
      <c r="M23">
        <v>92</v>
      </c>
      <c r="N23">
        <v>4</v>
      </c>
      <c r="O23" t="s">
        <v>31</v>
      </c>
    </row>
    <row r="24" spans="1:15" x14ac:dyDescent="0.3">
      <c r="A24">
        <v>23</v>
      </c>
      <c r="B24" t="s">
        <v>58</v>
      </c>
      <c r="C24">
        <v>52</v>
      </c>
      <c r="D24" t="s">
        <v>16</v>
      </c>
      <c r="E24" t="s">
        <v>43</v>
      </c>
      <c r="F24" t="s">
        <v>46</v>
      </c>
      <c r="G24" t="s">
        <v>29</v>
      </c>
      <c r="H24">
        <v>17</v>
      </c>
      <c r="I24">
        <v>1023</v>
      </c>
      <c r="J24">
        <v>5023</v>
      </c>
      <c r="K24">
        <v>74341</v>
      </c>
      <c r="L24" t="s">
        <v>20</v>
      </c>
      <c r="M24">
        <v>5</v>
      </c>
      <c r="N24">
        <v>4</v>
      </c>
      <c r="O24" t="s">
        <v>40</v>
      </c>
    </row>
    <row r="25" spans="1:15" x14ac:dyDescent="0.3">
      <c r="A25">
        <v>24</v>
      </c>
      <c r="B25" t="s">
        <v>59</v>
      </c>
      <c r="C25">
        <v>31</v>
      </c>
      <c r="D25" t="s">
        <v>23</v>
      </c>
      <c r="E25" t="s">
        <v>43</v>
      </c>
      <c r="F25" t="s">
        <v>18</v>
      </c>
      <c r="G25" t="s">
        <v>19</v>
      </c>
      <c r="H25">
        <v>11</v>
      </c>
      <c r="I25">
        <v>1024</v>
      </c>
      <c r="J25">
        <v>5024</v>
      </c>
      <c r="K25">
        <v>32087</v>
      </c>
      <c r="L25" t="s">
        <v>38</v>
      </c>
      <c r="M25">
        <v>81</v>
      </c>
      <c r="N25">
        <v>3</v>
      </c>
      <c r="O25" t="s">
        <v>31</v>
      </c>
    </row>
    <row r="26" spans="1:15" x14ac:dyDescent="0.3">
      <c r="A26">
        <v>25</v>
      </c>
      <c r="B26" t="s">
        <v>60</v>
      </c>
      <c r="C26">
        <v>41</v>
      </c>
      <c r="D26" t="s">
        <v>23</v>
      </c>
      <c r="E26" t="s">
        <v>43</v>
      </c>
      <c r="F26" t="s">
        <v>18</v>
      </c>
      <c r="G26" t="s">
        <v>29</v>
      </c>
      <c r="H26">
        <v>10</v>
      </c>
      <c r="I26">
        <v>1025</v>
      </c>
      <c r="J26">
        <v>5025</v>
      </c>
      <c r="K26">
        <v>43762</v>
      </c>
      <c r="L26" t="s">
        <v>20</v>
      </c>
      <c r="M26">
        <v>56</v>
      </c>
      <c r="N26">
        <v>2</v>
      </c>
      <c r="O26" t="s">
        <v>31</v>
      </c>
    </row>
    <row r="27" spans="1:15" x14ac:dyDescent="0.3">
      <c r="A27">
        <v>26</v>
      </c>
      <c r="B27" t="s">
        <v>61</v>
      </c>
      <c r="C27">
        <v>44</v>
      </c>
      <c r="D27" t="s">
        <v>16</v>
      </c>
      <c r="E27" t="s">
        <v>45</v>
      </c>
      <c r="F27" t="s">
        <v>25</v>
      </c>
      <c r="G27" t="s">
        <v>19</v>
      </c>
      <c r="H27">
        <v>12</v>
      </c>
      <c r="I27">
        <v>1026</v>
      </c>
      <c r="J27">
        <v>5026</v>
      </c>
      <c r="K27">
        <v>102617</v>
      </c>
      <c r="L27" t="s">
        <v>38</v>
      </c>
      <c r="M27">
        <v>20</v>
      </c>
      <c r="N27">
        <v>2</v>
      </c>
      <c r="O27" t="s">
        <v>31</v>
      </c>
    </row>
    <row r="28" spans="1:15" x14ac:dyDescent="0.3">
      <c r="A28">
        <v>27</v>
      </c>
      <c r="B28" t="s">
        <v>62</v>
      </c>
      <c r="C28">
        <v>46</v>
      </c>
      <c r="D28" t="s">
        <v>23</v>
      </c>
      <c r="E28" t="s">
        <v>24</v>
      </c>
      <c r="F28" t="s">
        <v>33</v>
      </c>
      <c r="G28" t="s">
        <v>29</v>
      </c>
      <c r="H28">
        <v>10</v>
      </c>
      <c r="I28">
        <v>1027</v>
      </c>
      <c r="J28">
        <v>5027</v>
      </c>
      <c r="K28">
        <v>29596</v>
      </c>
      <c r="L28" t="s">
        <v>38</v>
      </c>
      <c r="M28">
        <v>41</v>
      </c>
      <c r="N28">
        <v>1</v>
      </c>
      <c r="O28" t="s">
        <v>40</v>
      </c>
    </row>
    <row r="29" spans="1:15" x14ac:dyDescent="0.3">
      <c r="A29">
        <v>28</v>
      </c>
      <c r="B29" t="s">
        <v>63</v>
      </c>
      <c r="C29">
        <v>47</v>
      </c>
      <c r="D29" t="s">
        <v>16</v>
      </c>
      <c r="E29" t="s">
        <v>45</v>
      </c>
      <c r="F29" t="s">
        <v>46</v>
      </c>
      <c r="G29" t="s">
        <v>26</v>
      </c>
      <c r="H29">
        <v>15</v>
      </c>
      <c r="I29">
        <v>1028</v>
      </c>
      <c r="J29">
        <v>5028</v>
      </c>
      <c r="K29">
        <v>38313</v>
      </c>
      <c r="L29" t="s">
        <v>20</v>
      </c>
      <c r="M29">
        <v>46</v>
      </c>
      <c r="N29">
        <v>4</v>
      </c>
      <c r="O29" t="s">
        <v>36</v>
      </c>
    </row>
    <row r="30" spans="1:15" x14ac:dyDescent="0.3">
      <c r="A30">
        <v>29</v>
      </c>
      <c r="B30" t="s">
        <v>64</v>
      </c>
      <c r="C30">
        <v>35</v>
      </c>
      <c r="D30" t="s">
        <v>23</v>
      </c>
      <c r="E30" t="s">
        <v>45</v>
      </c>
      <c r="F30" t="s">
        <v>25</v>
      </c>
      <c r="G30" t="s">
        <v>29</v>
      </c>
      <c r="H30">
        <v>14</v>
      </c>
      <c r="I30">
        <v>1029</v>
      </c>
      <c r="J30">
        <v>5029</v>
      </c>
      <c r="K30">
        <v>86549</v>
      </c>
      <c r="L30" t="s">
        <v>30</v>
      </c>
      <c r="M30">
        <v>12</v>
      </c>
      <c r="N30">
        <v>3</v>
      </c>
      <c r="O30" t="s">
        <v>31</v>
      </c>
    </row>
    <row r="31" spans="1:15" x14ac:dyDescent="0.3">
      <c r="A31">
        <v>30</v>
      </c>
      <c r="B31" t="s">
        <v>65</v>
      </c>
      <c r="C31">
        <v>34</v>
      </c>
      <c r="D31" t="s">
        <v>16</v>
      </c>
      <c r="E31" t="s">
        <v>43</v>
      </c>
      <c r="F31" t="s">
        <v>33</v>
      </c>
      <c r="G31" t="s">
        <v>19</v>
      </c>
      <c r="H31">
        <v>14</v>
      </c>
      <c r="I31">
        <v>1030</v>
      </c>
      <c r="J31">
        <v>5030</v>
      </c>
      <c r="K31">
        <v>43705</v>
      </c>
      <c r="L31" t="s">
        <v>27</v>
      </c>
      <c r="M31">
        <v>70</v>
      </c>
      <c r="N31">
        <v>1</v>
      </c>
      <c r="O31" t="s">
        <v>40</v>
      </c>
    </row>
    <row r="32" spans="1:15" x14ac:dyDescent="0.3">
      <c r="A32">
        <v>31</v>
      </c>
      <c r="B32" t="s">
        <v>66</v>
      </c>
      <c r="C32">
        <v>22</v>
      </c>
      <c r="D32" t="s">
        <v>16</v>
      </c>
      <c r="E32" t="s">
        <v>17</v>
      </c>
      <c r="F32" t="s">
        <v>25</v>
      </c>
      <c r="G32" t="s">
        <v>19</v>
      </c>
      <c r="H32">
        <v>3</v>
      </c>
      <c r="I32">
        <v>1031</v>
      </c>
      <c r="J32">
        <v>5031</v>
      </c>
      <c r="K32">
        <v>87364</v>
      </c>
      <c r="L32" t="s">
        <v>20</v>
      </c>
      <c r="M32">
        <v>17</v>
      </c>
      <c r="N32">
        <v>1</v>
      </c>
      <c r="O32" t="s">
        <v>40</v>
      </c>
    </row>
    <row r="33" spans="1:15" x14ac:dyDescent="0.3">
      <c r="A33">
        <v>32</v>
      </c>
      <c r="B33" t="s">
        <v>67</v>
      </c>
      <c r="C33">
        <v>56</v>
      </c>
      <c r="D33" t="s">
        <v>16</v>
      </c>
      <c r="E33" t="s">
        <v>17</v>
      </c>
      <c r="F33" t="s">
        <v>18</v>
      </c>
      <c r="G33" t="s">
        <v>29</v>
      </c>
      <c r="H33">
        <v>10</v>
      </c>
      <c r="I33">
        <v>1032</v>
      </c>
      <c r="J33">
        <v>5032</v>
      </c>
      <c r="K33">
        <v>93445</v>
      </c>
      <c r="L33" t="s">
        <v>27</v>
      </c>
      <c r="M33">
        <v>19</v>
      </c>
      <c r="N33">
        <v>2</v>
      </c>
      <c r="O33" t="s">
        <v>31</v>
      </c>
    </row>
    <row r="34" spans="1:15" x14ac:dyDescent="0.3">
      <c r="A34">
        <v>33</v>
      </c>
      <c r="B34" t="s">
        <v>68</v>
      </c>
      <c r="C34">
        <v>26</v>
      </c>
      <c r="D34" t="s">
        <v>16</v>
      </c>
      <c r="E34" t="s">
        <v>45</v>
      </c>
      <c r="F34" t="s">
        <v>33</v>
      </c>
      <c r="G34" t="s">
        <v>26</v>
      </c>
      <c r="H34">
        <v>18</v>
      </c>
      <c r="I34">
        <v>1033</v>
      </c>
      <c r="J34">
        <v>5033</v>
      </c>
      <c r="K34">
        <v>98645</v>
      </c>
      <c r="L34" t="s">
        <v>20</v>
      </c>
      <c r="M34">
        <v>26</v>
      </c>
      <c r="N34">
        <v>3</v>
      </c>
      <c r="O34" t="s">
        <v>31</v>
      </c>
    </row>
    <row r="35" spans="1:15" x14ac:dyDescent="0.3">
      <c r="A35">
        <v>34</v>
      </c>
      <c r="B35" t="s">
        <v>69</v>
      </c>
      <c r="C35">
        <v>40</v>
      </c>
      <c r="D35" t="s">
        <v>16</v>
      </c>
      <c r="E35" t="s">
        <v>45</v>
      </c>
      <c r="F35" t="s">
        <v>25</v>
      </c>
      <c r="G35" t="s">
        <v>26</v>
      </c>
      <c r="H35">
        <v>14</v>
      </c>
      <c r="I35">
        <v>1034</v>
      </c>
      <c r="J35">
        <v>5034</v>
      </c>
      <c r="K35">
        <v>22023</v>
      </c>
      <c r="L35" t="s">
        <v>27</v>
      </c>
      <c r="M35">
        <v>48</v>
      </c>
      <c r="N35">
        <v>3</v>
      </c>
      <c r="O35" t="s">
        <v>36</v>
      </c>
    </row>
    <row r="36" spans="1:15" x14ac:dyDescent="0.3">
      <c r="A36">
        <v>35</v>
      </c>
      <c r="B36" t="s">
        <v>70</v>
      </c>
      <c r="C36">
        <v>28</v>
      </c>
      <c r="D36" t="s">
        <v>16</v>
      </c>
      <c r="E36" t="s">
        <v>43</v>
      </c>
      <c r="F36" t="s">
        <v>25</v>
      </c>
      <c r="G36" t="s">
        <v>29</v>
      </c>
      <c r="H36">
        <v>3</v>
      </c>
      <c r="I36">
        <v>1035</v>
      </c>
      <c r="J36">
        <v>5035</v>
      </c>
      <c r="K36">
        <v>79796</v>
      </c>
      <c r="L36" t="s">
        <v>30</v>
      </c>
      <c r="M36">
        <v>52</v>
      </c>
      <c r="N36">
        <v>3</v>
      </c>
      <c r="O36" t="s">
        <v>40</v>
      </c>
    </row>
    <row r="37" spans="1:15" x14ac:dyDescent="0.3">
      <c r="A37">
        <v>36</v>
      </c>
      <c r="B37" t="s">
        <v>71</v>
      </c>
      <c r="C37">
        <v>58</v>
      </c>
      <c r="D37" t="s">
        <v>23</v>
      </c>
      <c r="E37" t="s">
        <v>45</v>
      </c>
      <c r="F37" t="s">
        <v>46</v>
      </c>
      <c r="G37" t="s">
        <v>29</v>
      </c>
      <c r="H37">
        <v>12</v>
      </c>
      <c r="I37">
        <v>1036</v>
      </c>
      <c r="J37">
        <v>5036</v>
      </c>
      <c r="K37">
        <v>100073</v>
      </c>
      <c r="L37" t="s">
        <v>30</v>
      </c>
      <c r="M37">
        <v>96</v>
      </c>
      <c r="N37">
        <v>2</v>
      </c>
      <c r="O37" t="s">
        <v>40</v>
      </c>
    </row>
    <row r="38" spans="1:15" x14ac:dyDescent="0.3">
      <c r="A38">
        <v>37</v>
      </c>
      <c r="B38" t="s">
        <v>72</v>
      </c>
      <c r="C38">
        <v>37</v>
      </c>
      <c r="D38" t="s">
        <v>16</v>
      </c>
      <c r="E38" t="s">
        <v>43</v>
      </c>
      <c r="F38" t="s">
        <v>25</v>
      </c>
      <c r="G38" t="s">
        <v>19</v>
      </c>
      <c r="H38">
        <v>18</v>
      </c>
      <c r="I38">
        <v>1037</v>
      </c>
      <c r="J38">
        <v>5037</v>
      </c>
      <c r="K38">
        <v>112197</v>
      </c>
      <c r="L38" t="s">
        <v>20</v>
      </c>
      <c r="M38">
        <v>70</v>
      </c>
      <c r="N38">
        <v>2</v>
      </c>
      <c r="O38" t="s">
        <v>21</v>
      </c>
    </row>
    <row r="39" spans="1:15" x14ac:dyDescent="0.3">
      <c r="A39">
        <v>38</v>
      </c>
      <c r="B39" t="s">
        <v>73</v>
      </c>
      <c r="C39">
        <v>23</v>
      </c>
      <c r="D39" t="s">
        <v>23</v>
      </c>
      <c r="E39" t="s">
        <v>17</v>
      </c>
      <c r="F39" t="s">
        <v>33</v>
      </c>
      <c r="G39" t="s">
        <v>26</v>
      </c>
      <c r="H39">
        <v>1</v>
      </c>
      <c r="I39">
        <v>1038</v>
      </c>
      <c r="J39">
        <v>5038</v>
      </c>
      <c r="K39">
        <v>84429</v>
      </c>
      <c r="L39" t="s">
        <v>38</v>
      </c>
      <c r="M39">
        <v>55</v>
      </c>
      <c r="N39">
        <v>2</v>
      </c>
      <c r="O39" t="s">
        <v>40</v>
      </c>
    </row>
    <row r="40" spans="1:15" x14ac:dyDescent="0.3">
      <c r="A40">
        <v>39</v>
      </c>
      <c r="B40" t="s">
        <v>74</v>
      </c>
      <c r="C40">
        <v>44</v>
      </c>
      <c r="D40" t="s">
        <v>16</v>
      </c>
      <c r="E40" t="s">
        <v>17</v>
      </c>
      <c r="F40" t="s">
        <v>33</v>
      </c>
      <c r="G40" t="s">
        <v>29</v>
      </c>
      <c r="H40">
        <v>13</v>
      </c>
      <c r="I40">
        <v>1039</v>
      </c>
      <c r="J40">
        <v>5039</v>
      </c>
      <c r="K40">
        <v>81627</v>
      </c>
      <c r="L40" t="s">
        <v>27</v>
      </c>
      <c r="M40">
        <v>75</v>
      </c>
      <c r="N40">
        <v>2</v>
      </c>
      <c r="O40" t="s">
        <v>36</v>
      </c>
    </row>
    <row r="41" spans="1:15" x14ac:dyDescent="0.3">
      <c r="A41">
        <v>40</v>
      </c>
      <c r="B41" t="s">
        <v>75</v>
      </c>
      <c r="C41">
        <v>33</v>
      </c>
      <c r="D41" t="s">
        <v>23</v>
      </c>
      <c r="E41" t="s">
        <v>24</v>
      </c>
      <c r="F41" t="s">
        <v>46</v>
      </c>
      <c r="G41" t="s">
        <v>26</v>
      </c>
      <c r="H41">
        <v>3</v>
      </c>
      <c r="I41">
        <v>1040</v>
      </c>
      <c r="J41">
        <v>5040</v>
      </c>
      <c r="K41">
        <v>53848</v>
      </c>
      <c r="L41" t="s">
        <v>38</v>
      </c>
      <c r="M41">
        <v>33</v>
      </c>
      <c r="N41">
        <v>2</v>
      </c>
      <c r="O41" t="s">
        <v>21</v>
      </c>
    </row>
    <row r="42" spans="1:15" x14ac:dyDescent="0.3">
      <c r="A42">
        <v>41</v>
      </c>
      <c r="B42" t="s">
        <v>76</v>
      </c>
      <c r="C42">
        <v>28</v>
      </c>
      <c r="D42" t="s">
        <v>23</v>
      </c>
      <c r="E42" t="s">
        <v>17</v>
      </c>
      <c r="F42" t="s">
        <v>33</v>
      </c>
      <c r="G42" t="s">
        <v>29</v>
      </c>
      <c r="H42">
        <v>15</v>
      </c>
      <c r="I42">
        <v>1041</v>
      </c>
      <c r="J42">
        <v>5041</v>
      </c>
      <c r="K42">
        <v>57804</v>
      </c>
      <c r="L42" t="s">
        <v>38</v>
      </c>
      <c r="M42">
        <v>62</v>
      </c>
      <c r="N42">
        <v>4</v>
      </c>
      <c r="O42" t="s">
        <v>21</v>
      </c>
    </row>
    <row r="43" spans="1:15" x14ac:dyDescent="0.3">
      <c r="A43">
        <v>42</v>
      </c>
      <c r="B43" t="s">
        <v>77</v>
      </c>
      <c r="C43">
        <v>45</v>
      </c>
      <c r="D43" t="s">
        <v>23</v>
      </c>
      <c r="E43" t="s">
        <v>45</v>
      </c>
      <c r="F43" t="s">
        <v>18</v>
      </c>
      <c r="G43" t="s">
        <v>29</v>
      </c>
      <c r="H43">
        <v>19</v>
      </c>
      <c r="I43">
        <v>1042</v>
      </c>
      <c r="J43">
        <v>5042</v>
      </c>
      <c r="K43">
        <v>35379</v>
      </c>
      <c r="L43" t="s">
        <v>38</v>
      </c>
      <c r="M43">
        <v>88</v>
      </c>
      <c r="N43">
        <v>4</v>
      </c>
      <c r="O43" t="s">
        <v>21</v>
      </c>
    </row>
    <row r="44" spans="1:15" x14ac:dyDescent="0.3">
      <c r="A44">
        <v>43</v>
      </c>
      <c r="B44" t="s">
        <v>78</v>
      </c>
      <c r="C44">
        <v>21</v>
      </c>
      <c r="D44" t="s">
        <v>16</v>
      </c>
      <c r="E44" t="s">
        <v>17</v>
      </c>
      <c r="F44" t="s">
        <v>33</v>
      </c>
      <c r="G44" t="s">
        <v>26</v>
      </c>
      <c r="H44">
        <v>13</v>
      </c>
      <c r="I44">
        <v>1043</v>
      </c>
      <c r="J44">
        <v>5043</v>
      </c>
      <c r="K44">
        <v>79664</v>
      </c>
      <c r="L44" t="s">
        <v>30</v>
      </c>
      <c r="M44">
        <v>23</v>
      </c>
      <c r="N44">
        <v>3</v>
      </c>
      <c r="O44" t="s">
        <v>31</v>
      </c>
    </row>
    <row r="45" spans="1:15" x14ac:dyDescent="0.3">
      <c r="A45">
        <v>44</v>
      </c>
      <c r="B45" t="s">
        <v>79</v>
      </c>
      <c r="C45">
        <v>39</v>
      </c>
      <c r="D45" t="s">
        <v>16</v>
      </c>
      <c r="E45" t="s">
        <v>43</v>
      </c>
      <c r="F45" t="s">
        <v>33</v>
      </c>
      <c r="G45" t="s">
        <v>29</v>
      </c>
      <c r="H45">
        <v>14</v>
      </c>
      <c r="I45">
        <v>1044</v>
      </c>
      <c r="J45">
        <v>5044</v>
      </c>
      <c r="K45">
        <v>47766</v>
      </c>
      <c r="L45" t="s">
        <v>20</v>
      </c>
      <c r="M45">
        <v>15</v>
      </c>
      <c r="N45">
        <v>1</v>
      </c>
      <c r="O45" t="s">
        <v>31</v>
      </c>
    </row>
    <row r="46" spans="1:15" x14ac:dyDescent="0.3">
      <c r="A46">
        <v>45</v>
      </c>
      <c r="B46" t="s">
        <v>80</v>
      </c>
      <c r="C46">
        <v>47</v>
      </c>
      <c r="D46" t="s">
        <v>23</v>
      </c>
      <c r="E46" t="s">
        <v>17</v>
      </c>
      <c r="F46" t="s">
        <v>25</v>
      </c>
      <c r="G46" t="s">
        <v>29</v>
      </c>
      <c r="H46">
        <v>2</v>
      </c>
      <c r="I46">
        <v>1045</v>
      </c>
      <c r="J46">
        <v>5045</v>
      </c>
      <c r="K46">
        <v>88099</v>
      </c>
      <c r="L46" t="s">
        <v>20</v>
      </c>
      <c r="M46">
        <v>27</v>
      </c>
      <c r="N46">
        <v>3</v>
      </c>
      <c r="O46" t="s">
        <v>40</v>
      </c>
    </row>
    <row r="47" spans="1:15" x14ac:dyDescent="0.3">
      <c r="A47">
        <v>46</v>
      </c>
      <c r="B47" t="s">
        <v>81</v>
      </c>
      <c r="C47">
        <v>26</v>
      </c>
      <c r="D47" t="s">
        <v>16</v>
      </c>
      <c r="E47" t="s">
        <v>24</v>
      </c>
      <c r="F47" t="s">
        <v>25</v>
      </c>
      <c r="G47" t="s">
        <v>19</v>
      </c>
      <c r="H47">
        <v>7</v>
      </c>
      <c r="I47">
        <v>1046</v>
      </c>
      <c r="J47">
        <v>5046</v>
      </c>
      <c r="K47">
        <v>56060</v>
      </c>
      <c r="L47" t="s">
        <v>30</v>
      </c>
      <c r="M47">
        <v>75</v>
      </c>
      <c r="N47">
        <v>1</v>
      </c>
      <c r="O47" t="s">
        <v>21</v>
      </c>
    </row>
    <row r="48" spans="1:15" x14ac:dyDescent="0.3">
      <c r="A48">
        <v>47</v>
      </c>
      <c r="B48" t="s">
        <v>82</v>
      </c>
      <c r="C48">
        <v>27</v>
      </c>
      <c r="D48" t="s">
        <v>23</v>
      </c>
      <c r="E48" t="s">
        <v>17</v>
      </c>
      <c r="F48" t="s">
        <v>33</v>
      </c>
      <c r="G48" t="s">
        <v>29</v>
      </c>
      <c r="H48">
        <v>15</v>
      </c>
      <c r="I48">
        <v>1047</v>
      </c>
      <c r="J48">
        <v>5047</v>
      </c>
      <c r="K48">
        <v>114733</v>
      </c>
      <c r="L48" t="s">
        <v>30</v>
      </c>
      <c r="M48">
        <v>64</v>
      </c>
      <c r="N48">
        <v>2</v>
      </c>
      <c r="O48" t="s">
        <v>36</v>
      </c>
    </row>
    <row r="49" spans="1:15" x14ac:dyDescent="0.3">
      <c r="A49">
        <v>48</v>
      </c>
      <c r="B49" t="s">
        <v>83</v>
      </c>
      <c r="C49">
        <v>54</v>
      </c>
      <c r="D49" t="s">
        <v>16</v>
      </c>
      <c r="E49" t="s">
        <v>43</v>
      </c>
      <c r="F49" t="s">
        <v>46</v>
      </c>
      <c r="G49" t="s">
        <v>29</v>
      </c>
      <c r="H49">
        <v>9</v>
      </c>
      <c r="I49">
        <v>1048</v>
      </c>
      <c r="J49">
        <v>5048</v>
      </c>
      <c r="K49">
        <v>89122</v>
      </c>
      <c r="L49" t="s">
        <v>20</v>
      </c>
      <c r="M49">
        <v>81</v>
      </c>
      <c r="N49">
        <v>1</v>
      </c>
      <c r="O49" t="s">
        <v>31</v>
      </c>
    </row>
    <row r="50" spans="1:15" x14ac:dyDescent="0.3">
      <c r="A50">
        <v>49</v>
      </c>
      <c r="B50" t="s">
        <v>84</v>
      </c>
      <c r="C50">
        <v>33</v>
      </c>
      <c r="D50" t="s">
        <v>23</v>
      </c>
      <c r="E50" t="s">
        <v>43</v>
      </c>
      <c r="F50" t="s">
        <v>25</v>
      </c>
      <c r="G50" t="s">
        <v>29</v>
      </c>
      <c r="H50">
        <v>3</v>
      </c>
      <c r="I50">
        <v>1049</v>
      </c>
      <c r="J50">
        <v>5049</v>
      </c>
      <c r="K50">
        <v>36087</v>
      </c>
      <c r="L50" t="s">
        <v>38</v>
      </c>
      <c r="M50">
        <v>51</v>
      </c>
      <c r="N50">
        <v>3</v>
      </c>
      <c r="O50" t="s">
        <v>36</v>
      </c>
    </row>
    <row r="51" spans="1:15" x14ac:dyDescent="0.3">
      <c r="A51">
        <v>50</v>
      </c>
      <c r="B51" t="s">
        <v>85</v>
      </c>
      <c r="C51">
        <v>36</v>
      </c>
      <c r="D51" t="s">
        <v>23</v>
      </c>
      <c r="E51" t="s">
        <v>45</v>
      </c>
      <c r="F51" t="s">
        <v>46</v>
      </c>
      <c r="G51" t="s">
        <v>19</v>
      </c>
      <c r="H51">
        <v>17</v>
      </c>
      <c r="I51">
        <v>1050</v>
      </c>
      <c r="J51">
        <v>5050</v>
      </c>
      <c r="K51">
        <v>68868</v>
      </c>
      <c r="L51" t="s">
        <v>27</v>
      </c>
      <c r="M51">
        <v>53</v>
      </c>
      <c r="N51">
        <v>3</v>
      </c>
      <c r="O51" t="s">
        <v>36</v>
      </c>
    </row>
    <row r="52" spans="1:15" x14ac:dyDescent="0.3">
      <c r="A52">
        <v>51</v>
      </c>
      <c r="B52" t="s">
        <v>86</v>
      </c>
      <c r="C52">
        <v>55</v>
      </c>
      <c r="D52" t="s">
        <v>16</v>
      </c>
      <c r="E52" t="s">
        <v>17</v>
      </c>
      <c r="F52" t="s">
        <v>33</v>
      </c>
      <c r="G52" t="s">
        <v>26</v>
      </c>
      <c r="H52">
        <v>1</v>
      </c>
      <c r="I52">
        <v>1051</v>
      </c>
      <c r="J52">
        <v>5051</v>
      </c>
      <c r="K52">
        <v>43225</v>
      </c>
      <c r="L52" t="s">
        <v>27</v>
      </c>
      <c r="M52">
        <v>78</v>
      </c>
      <c r="N52">
        <v>1</v>
      </c>
      <c r="O52" t="s">
        <v>31</v>
      </c>
    </row>
    <row r="53" spans="1:15" x14ac:dyDescent="0.3">
      <c r="A53">
        <v>52</v>
      </c>
      <c r="B53" t="s">
        <v>87</v>
      </c>
      <c r="C53">
        <v>59</v>
      </c>
      <c r="D53" t="s">
        <v>23</v>
      </c>
      <c r="E53" t="s">
        <v>43</v>
      </c>
      <c r="F53" t="s">
        <v>33</v>
      </c>
      <c r="G53" t="s">
        <v>19</v>
      </c>
      <c r="H53">
        <v>16</v>
      </c>
      <c r="I53">
        <v>1052</v>
      </c>
      <c r="J53">
        <v>5052</v>
      </c>
      <c r="K53">
        <v>115286</v>
      </c>
      <c r="L53" t="s">
        <v>27</v>
      </c>
      <c r="M53">
        <v>91</v>
      </c>
      <c r="N53">
        <v>4</v>
      </c>
      <c r="O53" t="s">
        <v>31</v>
      </c>
    </row>
    <row r="54" spans="1:15" x14ac:dyDescent="0.3">
      <c r="A54">
        <v>53</v>
      </c>
      <c r="B54" t="s">
        <v>88</v>
      </c>
      <c r="C54">
        <v>23</v>
      </c>
      <c r="D54" t="s">
        <v>16</v>
      </c>
      <c r="E54" t="s">
        <v>24</v>
      </c>
      <c r="F54" t="s">
        <v>18</v>
      </c>
      <c r="G54" t="s">
        <v>19</v>
      </c>
      <c r="H54">
        <v>12</v>
      </c>
      <c r="I54">
        <v>1053</v>
      </c>
      <c r="J54">
        <v>5053</v>
      </c>
      <c r="K54">
        <v>26643</v>
      </c>
      <c r="L54" t="s">
        <v>38</v>
      </c>
      <c r="M54">
        <v>82</v>
      </c>
      <c r="N54">
        <v>2</v>
      </c>
      <c r="O54" t="s">
        <v>31</v>
      </c>
    </row>
    <row r="55" spans="1:15" x14ac:dyDescent="0.3">
      <c r="A55">
        <v>54</v>
      </c>
      <c r="B55" t="s">
        <v>89</v>
      </c>
      <c r="C55">
        <v>21</v>
      </c>
      <c r="D55" t="s">
        <v>23</v>
      </c>
      <c r="E55" t="s">
        <v>45</v>
      </c>
      <c r="F55" t="s">
        <v>25</v>
      </c>
      <c r="G55" t="s">
        <v>26</v>
      </c>
      <c r="H55">
        <v>3</v>
      </c>
      <c r="I55">
        <v>1054</v>
      </c>
      <c r="J55">
        <v>5054</v>
      </c>
      <c r="K55">
        <v>113059</v>
      </c>
      <c r="L55" t="s">
        <v>20</v>
      </c>
      <c r="M55">
        <v>92</v>
      </c>
      <c r="N55">
        <v>2</v>
      </c>
      <c r="O55" t="s">
        <v>31</v>
      </c>
    </row>
    <row r="56" spans="1:15" x14ac:dyDescent="0.3">
      <c r="A56">
        <v>55</v>
      </c>
      <c r="B56" t="s">
        <v>90</v>
      </c>
      <c r="C56">
        <v>25</v>
      </c>
      <c r="D56" t="s">
        <v>23</v>
      </c>
      <c r="E56" t="s">
        <v>24</v>
      </c>
      <c r="F56" t="s">
        <v>33</v>
      </c>
      <c r="G56" t="s">
        <v>19</v>
      </c>
      <c r="H56">
        <v>10</v>
      </c>
      <c r="I56">
        <v>1055</v>
      </c>
      <c r="J56">
        <v>5055</v>
      </c>
      <c r="K56">
        <v>56727</v>
      </c>
      <c r="L56" t="s">
        <v>30</v>
      </c>
      <c r="M56">
        <v>51</v>
      </c>
      <c r="N56">
        <v>3</v>
      </c>
      <c r="O56" t="s">
        <v>21</v>
      </c>
    </row>
    <row r="57" spans="1:15" x14ac:dyDescent="0.3">
      <c r="A57">
        <v>56</v>
      </c>
      <c r="B57" t="s">
        <v>91</v>
      </c>
      <c r="C57">
        <v>23</v>
      </c>
      <c r="D57" t="s">
        <v>16</v>
      </c>
      <c r="E57" t="s">
        <v>17</v>
      </c>
      <c r="F57" t="s">
        <v>18</v>
      </c>
      <c r="G57" t="s">
        <v>26</v>
      </c>
      <c r="H57">
        <v>6</v>
      </c>
      <c r="I57">
        <v>1056</v>
      </c>
      <c r="J57">
        <v>5056</v>
      </c>
      <c r="K57">
        <v>31005</v>
      </c>
      <c r="L57" t="s">
        <v>20</v>
      </c>
      <c r="M57">
        <v>47</v>
      </c>
      <c r="N57">
        <v>4</v>
      </c>
      <c r="O57" t="s">
        <v>21</v>
      </c>
    </row>
    <row r="58" spans="1:15" x14ac:dyDescent="0.3">
      <c r="A58">
        <v>57</v>
      </c>
      <c r="B58" t="s">
        <v>92</v>
      </c>
      <c r="C58">
        <v>48</v>
      </c>
      <c r="D58" t="s">
        <v>16</v>
      </c>
      <c r="E58" t="s">
        <v>17</v>
      </c>
      <c r="F58" t="s">
        <v>25</v>
      </c>
      <c r="G58" t="s">
        <v>19</v>
      </c>
      <c r="H58">
        <v>11</v>
      </c>
      <c r="I58">
        <v>1057</v>
      </c>
      <c r="J58">
        <v>5057</v>
      </c>
      <c r="K58">
        <v>85697</v>
      </c>
      <c r="L58" t="s">
        <v>38</v>
      </c>
      <c r="M58">
        <v>4</v>
      </c>
      <c r="N58">
        <v>1</v>
      </c>
      <c r="O58" t="s">
        <v>21</v>
      </c>
    </row>
    <row r="59" spans="1:15" x14ac:dyDescent="0.3">
      <c r="A59">
        <v>58</v>
      </c>
      <c r="B59" t="s">
        <v>93</v>
      </c>
      <c r="C59">
        <v>37</v>
      </c>
      <c r="D59" t="s">
        <v>16</v>
      </c>
      <c r="E59" t="s">
        <v>17</v>
      </c>
      <c r="F59" t="s">
        <v>33</v>
      </c>
      <c r="G59" t="s">
        <v>26</v>
      </c>
      <c r="H59">
        <v>9</v>
      </c>
      <c r="I59">
        <v>1058</v>
      </c>
      <c r="J59">
        <v>5058</v>
      </c>
      <c r="K59">
        <v>36029</v>
      </c>
      <c r="L59" t="s">
        <v>30</v>
      </c>
      <c r="M59">
        <v>7</v>
      </c>
      <c r="N59">
        <v>2</v>
      </c>
      <c r="O59" t="s">
        <v>21</v>
      </c>
    </row>
    <row r="60" spans="1:15" x14ac:dyDescent="0.3">
      <c r="A60">
        <v>59</v>
      </c>
      <c r="B60" t="s">
        <v>94</v>
      </c>
      <c r="C60">
        <v>45</v>
      </c>
      <c r="D60" t="s">
        <v>23</v>
      </c>
      <c r="E60" t="s">
        <v>45</v>
      </c>
      <c r="F60" t="s">
        <v>33</v>
      </c>
      <c r="G60" t="s">
        <v>29</v>
      </c>
      <c r="H60">
        <v>6</v>
      </c>
      <c r="I60">
        <v>1059</v>
      </c>
      <c r="J60">
        <v>5059</v>
      </c>
      <c r="K60">
        <v>34226</v>
      </c>
      <c r="L60" t="s">
        <v>38</v>
      </c>
      <c r="M60">
        <v>35</v>
      </c>
      <c r="N60">
        <v>4</v>
      </c>
      <c r="O60" t="s">
        <v>40</v>
      </c>
    </row>
    <row r="61" spans="1:15" x14ac:dyDescent="0.3">
      <c r="A61">
        <v>60</v>
      </c>
      <c r="B61" t="s">
        <v>95</v>
      </c>
      <c r="C61">
        <v>53</v>
      </c>
      <c r="D61" t="s">
        <v>16</v>
      </c>
      <c r="E61" t="s">
        <v>43</v>
      </c>
      <c r="F61" t="s">
        <v>25</v>
      </c>
      <c r="G61" t="s">
        <v>19</v>
      </c>
      <c r="H61">
        <v>12</v>
      </c>
      <c r="I61">
        <v>1060</v>
      </c>
      <c r="J61">
        <v>5060</v>
      </c>
      <c r="K61">
        <v>83646</v>
      </c>
      <c r="L61" t="s">
        <v>27</v>
      </c>
      <c r="M61">
        <v>48</v>
      </c>
      <c r="N61">
        <v>2</v>
      </c>
      <c r="O61" t="s">
        <v>21</v>
      </c>
    </row>
    <row r="62" spans="1:15" x14ac:dyDescent="0.3">
      <c r="A62">
        <v>61</v>
      </c>
      <c r="B62" t="s">
        <v>96</v>
      </c>
      <c r="C62">
        <v>29</v>
      </c>
      <c r="D62" t="s">
        <v>23</v>
      </c>
      <c r="E62" t="s">
        <v>45</v>
      </c>
      <c r="F62" t="s">
        <v>25</v>
      </c>
      <c r="G62" t="s">
        <v>19</v>
      </c>
      <c r="H62">
        <v>6</v>
      </c>
      <c r="I62">
        <v>1061</v>
      </c>
      <c r="J62">
        <v>5061</v>
      </c>
      <c r="K62">
        <v>80603</v>
      </c>
      <c r="L62" t="s">
        <v>27</v>
      </c>
      <c r="M62">
        <v>73</v>
      </c>
      <c r="N62">
        <v>4</v>
      </c>
      <c r="O62" t="s">
        <v>31</v>
      </c>
    </row>
    <row r="63" spans="1:15" x14ac:dyDescent="0.3">
      <c r="A63">
        <v>62</v>
      </c>
      <c r="B63" t="s">
        <v>97</v>
      </c>
      <c r="C63">
        <v>55</v>
      </c>
      <c r="D63" t="s">
        <v>23</v>
      </c>
      <c r="E63" t="s">
        <v>24</v>
      </c>
      <c r="F63" t="s">
        <v>25</v>
      </c>
      <c r="G63" t="s">
        <v>19</v>
      </c>
      <c r="H63">
        <v>16</v>
      </c>
      <c r="I63">
        <v>1062</v>
      </c>
      <c r="J63">
        <v>5062</v>
      </c>
      <c r="K63">
        <v>48731</v>
      </c>
      <c r="L63" t="s">
        <v>38</v>
      </c>
      <c r="M63">
        <v>72</v>
      </c>
      <c r="N63">
        <v>4</v>
      </c>
      <c r="O63" t="s">
        <v>36</v>
      </c>
    </row>
    <row r="64" spans="1:15" x14ac:dyDescent="0.3">
      <c r="A64">
        <v>63</v>
      </c>
      <c r="B64" t="s">
        <v>98</v>
      </c>
      <c r="C64">
        <v>33</v>
      </c>
      <c r="D64" t="s">
        <v>16</v>
      </c>
      <c r="E64" t="s">
        <v>45</v>
      </c>
      <c r="F64" t="s">
        <v>33</v>
      </c>
      <c r="G64" t="s">
        <v>19</v>
      </c>
      <c r="H64">
        <v>9</v>
      </c>
      <c r="I64">
        <v>1063</v>
      </c>
      <c r="J64">
        <v>5063</v>
      </c>
      <c r="K64">
        <v>88926</v>
      </c>
      <c r="L64" t="s">
        <v>30</v>
      </c>
      <c r="M64">
        <v>45</v>
      </c>
      <c r="N64">
        <v>3</v>
      </c>
      <c r="O64" t="s">
        <v>21</v>
      </c>
    </row>
    <row r="65" spans="1:15" x14ac:dyDescent="0.3">
      <c r="A65">
        <v>64</v>
      </c>
      <c r="B65" t="s">
        <v>99</v>
      </c>
      <c r="C65">
        <v>50</v>
      </c>
      <c r="D65" t="s">
        <v>16</v>
      </c>
      <c r="E65" t="s">
        <v>24</v>
      </c>
      <c r="F65" t="s">
        <v>33</v>
      </c>
      <c r="G65" t="s">
        <v>29</v>
      </c>
      <c r="H65">
        <v>9</v>
      </c>
      <c r="I65">
        <v>1064</v>
      </c>
      <c r="J65">
        <v>5064</v>
      </c>
      <c r="K65">
        <v>25997</v>
      </c>
      <c r="L65" t="s">
        <v>30</v>
      </c>
      <c r="M65">
        <v>81</v>
      </c>
      <c r="N65">
        <v>2</v>
      </c>
      <c r="O65" t="s">
        <v>40</v>
      </c>
    </row>
    <row r="66" spans="1:15" x14ac:dyDescent="0.3">
      <c r="A66">
        <v>65</v>
      </c>
      <c r="B66" t="s">
        <v>100</v>
      </c>
      <c r="C66">
        <v>34</v>
      </c>
      <c r="D66" t="s">
        <v>23</v>
      </c>
      <c r="E66" t="s">
        <v>45</v>
      </c>
      <c r="F66" t="s">
        <v>18</v>
      </c>
      <c r="G66" t="s">
        <v>19</v>
      </c>
      <c r="H66">
        <v>3</v>
      </c>
      <c r="I66">
        <v>1065</v>
      </c>
      <c r="J66">
        <v>5065</v>
      </c>
      <c r="K66">
        <v>75506</v>
      </c>
      <c r="L66" t="s">
        <v>20</v>
      </c>
      <c r="M66">
        <v>81</v>
      </c>
      <c r="N66">
        <v>1</v>
      </c>
      <c r="O66" t="s">
        <v>31</v>
      </c>
    </row>
    <row r="67" spans="1:15" x14ac:dyDescent="0.3">
      <c r="A67">
        <v>66</v>
      </c>
      <c r="B67" t="s">
        <v>101</v>
      </c>
      <c r="C67">
        <v>27</v>
      </c>
      <c r="D67" t="s">
        <v>23</v>
      </c>
      <c r="E67" t="s">
        <v>43</v>
      </c>
      <c r="F67" t="s">
        <v>46</v>
      </c>
      <c r="G67" t="s">
        <v>29</v>
      </c>
      <c r="H67">
        <v>19</v>
      </c>
      <c r="I67">
        <v>1066</v>
      </c>
      <c r="J67">
        <v>5066</v>
      </c>
      <c r="K67">
        <v>98229</v>
      </c>
      <c r="L67" t="s">
        <v>27</v>
      </c>
      <c r="M67">
        <v>97</v>
      </c>
      <c r="N67">
        <v>3</v>
      </c>
      <c r="O67" t="s">
        <v>36</v>
      </c>
    </row>
    <row r="68" spans="1:15" x14ac:dyDescent="0.3">
      <c r="A68">
        <v>67</v>
      </c>
      <c r="B68" t="s">
        <v>102</v>
      </c>
      <c r="C68">
        <v>33</v>
      </c>
      <c r="D68" t="s">
        <v>16</v>
      </c>
      <c r="E68" t="s">
        <v>24</v>
      </c>
      <c r="F68" t="s">
        <v>25</v>
      </c>
      <c r="G68" t="s">
        <v>29</v>
      </c>
      <c r="H68">
        <v>3</v>
      </c>
      <c r="I68">
        <v>1067</v>
      </c>
      <c r="J68">
        <v>5067</v>
      </c>
      <c r="K68">
        <v>69815</v>
      </c>
      <c r="L68" t="s">
        <v>20</v>
      </c>
      <c r="M68">
        <v>96</v>
      </c>
      <c r="N68">
        <v>3</v>
      </c>
      <c r="O68" t="s">
        <v>36</v>
      </c>
    </row>
    <row r="69" spans="1:15" x14ac:dyDescent="0.3">
      <c r="A69">
        <v>68</v>
      </c>
      <c r="B69" t="s">
        <v>103</v>
      </c>
      <c r="C69">
        <v>42</v>
      </c>
      <c r="D69" t="s">
        <v>16</v>
      </c>
      <c r="E69" t="s">
        <v>17</v>
      </c>
      <c r="F69" t="s">
        <v>33</v>
      </c>
      <c r="G69" t="s">
        <v>29</v>
      </c>
      <c r="H69">
        <v>6</v>
      </c>
      <c r="I69">
        <v>1068</v>
      </c>
      <c r="J69">
        <v>5068</v>
      </c>
      <c r="K69">
        <v>62092</v>
      </c>
      <c r="L69" t="s">
        <v>20</v>
      </c>
      <c r="M69">
        <v>72</v>
      </c>
      <c r="N69">
        <v>1</v>
      </c>
      <c r="O69" t="s">
        <v>21</v>
      </c>
    </row>
    <row r="70" spans="1:15" x14ac:dyDescent="0.3">
      <c r="A70">
        <v>69</v>
      </c>
      <c r="B70" t="s">
        <v>104</v>
      </c>
      <c r="C70">
        <v>59</v>
      </c>
      <c r="D70" t="s">
        <v>16</v>
      </c>
      <c r="E70" t="s">
        <v>17</v>
      </c>
      <c r="F70" t="s">
        <v>33</v>
      </c>
      <c r="G70" t="s">
        <v>29</v>
      </c>
      <c r="H70">
        <v>0</v>
      </c>
      <c r="I70">
        <v>1069</v>
      </c>
      <c r="J70">
        <v>5069</v>
      </c>
      <c r="K70">
        <v>82539</v>
      </c>
      <c r="L70" t="s">
        <v>38</v>
      </c>
      <c r="M70">
        <v>19</v>
      </c>
      <c r="N70">
        <v>3</v>
      </c>
      <c r="O70" t="s">
        <v>36</v>
      </c>
    </row>
    <row r="71" spans="1:15" x14ac:dyDescent="0.3">
      <c r="A71">
        <v>70</v>
      </c>
      <c r="B71" t="s">
        <v>105</v>
      </c>
      <c r="C71">
        <v>40</v>
      </c>
      <c r="D71" t="s">
        <v>16</v>
      </c>
      <c r="E71" t="s">
        <v>45</v>
      </c>
      <c r="F71" t="s">
        <v>25</v>
      </c>
      <c r="G71" t="s">
        <v>26</v>
      </c>
      <c r="H71">
        <v>11</v>
      </c>
      <c r="I71">
        <v>1070</v>
      </c>
      <c r="J71">
        <v>5070</v>
      </c>
      <c r="K71">
        <v>86077</v>
      </c>
      <c r="L71" t="s">
        <v>38</v>
      </c>
      <c r="M71">
        <v>63</v>
      </c>
      <c r="N71">
        <v>4</v>
      </c>
      <c r="O71" t="s">
        <v>21</v>
      </c>
    </row>
    <row r="72" spans="1:15" x14ac:dyDescent="0.3">
      <c r="A72">
        <v>71</v>
      </c>
      <c r="B72" t="s">
        <v>106</v>
      </c>
      <c r="C72">
        <v>35</v>
      </c>
      <c r="D72" t="s">
        <v>16</v>
      </c>
      <c r="E72" t="s">
        <v>17</v>
      </c>
      <c r="F72" t="s">
        <v>46</v>
      </c>
      <c r="G72" t="s">
        <v>26</v>
      </c>
      <c r="H72">
        <v>12</v>
      </c>
      <c r="I72">
        <v>1071</v>
      </c>
      <c r="J72">
        <v>5071</v>
      </c>
      <c r="K72">
        <v>41817</v>
      </c>
      <c r="L72" t="s">
        <v>20</v>
      </c>
      <c r="M72">
        <v>38</v>
      </c>
      <c r="N72">
        <v>4</v>
      </c>
      <c r="O72" t="s">
        <v>21</v>
      </c>
    </row>
    <row r="73" spans="1:15" x14ac:dyDescent="0.3">
      <c r="A73">
        <v>72</v>
      </c>
      <c r="B73" t="s">
        <v>107</v>
      </c>
      <c r="C73">
        <v>37</v>
      </c>
      <c r="D73" t="s">
        <v>23</v>
      </c>
      <c r="E73" t="s">
        <v>24</v>
      </c>
      <c r="F73" t="s">
        <v>25</v>
      </c>
      <c r="G73" t="s">
        <v>19</v>
      </c>
      <c r="H73">
        <v>9</v>
      </c>
      <c r="I73">
        <v>1072</v>
      </c>
      <c r="J73">
        <v>5072</v>
      </c>
      <c r="K73">
        <v>57861</v>
      </c>
      <c r="L73" t="s">
        <v>27</v>
      </c>
      <c r="M73">
        <v>67</v>
      </c>
      <c r="N73">
        <v>2</v>
      </c>
      <c r="O73" t="s">
        <v>31</v>
      </c>
    </row>
    <row r="74" spans="1:15" x14ac:dyDescent="0.3">
      <c r="A74">
        <v>73</v>
      </c>
      <c r="B74" t="s">
        <v>108</v>
      </c>
      <c r="C74">
        <v>43</v>
      </c>
      <c r="D74" t="s">
        <v>23</v>
      </c>
      <c r="E74" t="s">
        <v>17</v>
      </c>
      <c r="F74" t="s">
        <v>46</v>
      </c>
      <c r="G74" t="s">
        <v>26</v>
      </c>
      <c r="H74">
        <v>14</v>
      </c>
      <c r="I74">
        <v>1073</v>
      </c>
      <c r="J74">
        <v>5073</v>
      </c>
      <c r="K74">
        <v>33428</v>
      </c>
      <c r="L74" t="s">
        <v>38</v>
      </c>
      <c r="M74">
        <v>59</v>
      </c>
      <c r="N74">
        <v>2</v>
      </c>
      <c r="O74" t="s">
        <v>31</v>
      </c>
    </row>
    <row r="75" spans="1:15" x14ac:dyDescent="0.3">
      <c r="A75">
        <v>74</v>
      </c>
      <c r="B75" t="s">
        <v>109</v>
      </c>
      <c r="C75">
        <v>45</v>
      </c>
      <c r="D75" t="s">
        <v>23</v>
      </c>
      <c r="E75" t="s">
        <v>43</v>
      </c>
      <c r="F75" t="s">
        <v>33</v>
      </c>
      <c r="G75" t="s">
        <v>26</v>
      </c>
      <c r="H75">
        <v>12</v>
      </c>
      <c r="I75">
        <v>1074</v>
      </c>
      <c r="J75">
        <v>5074</v>
      </c>
      <c r="K75">
        <v>63934</v>
      </c>
      <c r="L75" t="s">
        <v>20</v>
      </c>
      <c r="M75">
        <v>69</v>
      </c>
      <c r="N75">
        <v>1</v>
      </c>
      <c r="O75" t="s">
        <v>40</v>
      </c>
    </row>
    <row r="76" spans="1:15" x14ac:dyDescent="0.3">
      <c r="A76">
        <v>75</v>
      </c>
      <c r="B76" t="s">
        <v>110</v>
      </c>
      <c r="C76">
        <v>44</v>
      </c>
      <c r="D76" t="s">
        <v>23</v>
      </c>
      <c r="E76" t="s">
        <v>43</v>
      </c>
      <c r="F76" t="s">
        <v>46</v>
      </c>
      <c r="G76" t="s">
        <v>19</v>
      </c>
      <c r="H76">
        <v>8</v>
      </c>
      <c r="I76">
        <v>1075</v>
      </c>
      <c r="J76">
        <v>5075</v>
      </c>
      <c r="K76">
        <v>30258</v>
      </c>
      <c r="L76" t="s">
        <v>20</v>
      </c>
      <c r="M76">
        <v>13</v>
      </c>
      <c r="N76">
        <v>2</v>
      </c>
      <c r="O76" t="s">
        <v>31</v>
      </c>
    </row>
    <row r="77" spans="1:15" x14ac:dyDescent="0.3">
      <c r="A77">
        <v>76</v>
      </c>
      <c r="B77" t="s">
        <v>111</v>
      </c>
      <c r="C77">
        <v>48</v>
      </c>
      <c r="D77" t="s">
        <v>16</v>
      </c>
      <c r="E77" t="s">
        <v>45</v>
      </c>
      <c r="F77" t="s">
        <v>18</v>
      </c>
      <c r="G77" t="s">
        <v>19</v>
      </c>
      <c r="H77">
        <v>8</v>
      </c>
      <c r="I77">
        <v>1076</v>
      </c>
      <c r="J77">
        <v>5076</v>
      </c>
      <c r="K77">
        <v>77775</v>
      </c>
      <c r="L77" t="s">
        <v>20</v>
      </c>
      <c r="M77">
        <v>47</v>
      </c>
      <c r="N77">
        <v>4</v>
      </c>
      <c r="O77" t="s">
        <v>31</v>
      </c>
    </row>
    <row r="78" spans="1:15" x14ac:dyDescent="0.3">
      <c r="A78">
        <v>77</v>
      </c>
      <c r="B78" t="s">
        <v>112</v>
      </c>
      <c r="C78">
        <v>34</v>
      </c>
      <c r="D78" t="s">
        <v>16</v>
      </c>
      <c r="E78" t="s">
        <v>24</v>
      </c>
      <c r="F78" t="s">
        <v>33</v>
      </c>
      <c r="G78" t="s">
        <v>19</v>
      </c>
      <c r="H78">
        <v>14</v>
      </c>
      <c r="I78">
        <v>1077</v>
      </c>
      <c r="J78">
        <v>5077</v>
      </c>
      <c r="K78">
        <v>101580</v>
      </c>
      <c r="L78" t="s">
        <v>20</v>
      </c>
      <c r="M78">
        <v>61</v>
      </c>
      <c r="N78">
        <v>1</v>
      </c>
      <c r="O78" t="s">
        <v>21</v>
      </c>
    </row>
    <row r="79" spans="1:15" x14ac:dyDescent="0.3">
      <c r="A79">
        <v>78</v>
      </c>
      <c r="B79" t="s">
        <v>113</v>
      </c>
      <c r="C79">
        <v>20</v>
      </c>
      <c r="D79" t="s">
        <v>16</v>
      </c>
      <c r="E79" t="s">
        <v>43</v>
      </c>
      <c r="F79" t="s">
        <v>18</v>
      </c>
      <c r="G79" t="s">
        <v>26</v>
      </c>
      <c r="H79">
        <v>9</v>
      </c>
      <c r="I79">
        <v>1078</v>
      </c>
      <c r="J79">
        <v>5078</v>
      </c>
      <c r="K79">
        <v>114947</v>
      </c>
      <c r="L79" t="s">
        <v>20</v>
      </c>
      <c r="M79">
        <v>31</v>
      </c>
      <c r="N79">
        <v>1</v>
      </c>
      <c r="O79" t="s">
        <v>31</v>
      </c>
    </row>
    <row r="80" spans="1:15" x14ac:dyDescent="0.3">
      <c r="A80">
        <v>79</v>
      </c>
      <c r="B80" t="s">
        <v>114</v>
      </c>
      <c r="C80">
        <v>44</v>
      </c>
      <c r="D80" t="s">
        <v>23</v>
      </c>
      <c r="E80" t="s">
        <v>43</v>
      </c>
      <c r="F80" t="s">
        <v>25</v>
      </c>
      <c r="G80" t="s">
        <v>26</v>
      </c>
      <c r="H80">
        <v>9</v>
      </c>
      <c r="I80">
        <v>1079</v>
      </c>
      <c r="J80">
        <v>5079</v>
      </c>
      <c r="K80">
        <v>25469</v>
      </c>
      <c r="L80" t="s">
        <v>20</v>
      </c>
      <c r="M80">
        <v>80</v>
      </c>
      <c r="N80">
        <v>2</v>
      </c>
      <c r="O80" t="s">
        <v>21</v>
      </c>
    </row>
    <row r="81" spans="1:15" x14ac:dyDescent="0.3">
      <c r="A81">
        <v>80</v>
      </c>
      <c r="B81" t="s">
        <v>115</v>
      </c>
      <c r="C81">
        <v>26</v>
      </c>
      <c r="D81" t="s">
        <v>23</v>
      </c>
      <c r="E81" t="s">
        <v>24</v>
      </c>
      <c r="F81" t="s">
        <v>25</v>
      </c>
      <c r="G81" t="s">
        <v>19</v>
      </c>
      <c r="H81">
        <v>7</v>
      </c>
      <c r="I81">
        <v>1080</v>
      </c>
      <c r="J81">
        <v>5080</v>
      </c>
      <c r="K81">
        <v>48854</v>
      </c>
      <c r="L81" t="s">
        <v>38</v>
      </c>
      <c r="M81">
        <v>96</v>
      </c>
      <c r="N81">
        <v>4</v>
      </c>
      <c r="O81" t="s">
        <v>21</v>
      </c>
    </row>
    <row r="82" spans="1:15" x14ac:dyDescent="0.3">
      <c r="A82">
        <v>81</v>
      </c>
      <c r="B82" t="s">
        <v>116</v>
      </c>
      <c r="C82">
        <v>28</v>
      </c>
      <c r="D82" t="s">
        <v>16</v>
      </c>
      <c r="E82" t="s">
        <v>17</v>
      </c>
      <c r="F82" t="s">
        <v>25</v>
      </c>
      <c r="G82" t="s">
        <v>29</v>
      </c>
      <c r="H82">
        <v>15</v>
      </c>
      <c r="I82">
        <v>1081</v>
      </c>
      <c r="J82">
        <v>5081</v>
      </c>
      <c r="K82">
        <v>26256</v>
      </c>
      <c r="L82" t="s">
        <v>27</v>
      </c>
      <c r="M82">
        <v>22</v>
      </c>
      <c r="N82">
        <v>1</v>
      </c>
      <c r="O82" t="s">
        <v>31</v>
      </c>
    </row>
    <row r="83" spans="1:15" x14ac:dyDescent="0.3">
      <c r="A83">
        <v>82</v>
      </c>
      <c r="B83" t="s">
        <v>117</v>
      </c>
      <c r="C83">
        <v>43</v>
      </c>
      <c r="D83" t="s">
        <v>16</v>
      </c>
      <c r="E83" t="s">
        <v>17</v>
      </c>
      <c r="F83" t="s">
        <v>46</v>
      </c>
      <c r="G83" t="s">
        <v>19</v>
      </c>
      <c r="H83">
        <v>16</v>
      </c>
      <c r="I83">
        <v>1082</v>
      </c>
      <c r="J83">
        <v>5082</v>
      </c>
      <c r="K83">
        <v>96256</v>
      </c>
      <c r="L83" t="s">
        <v>20</v>
      </c>
      <c r="M83">
        <v>93</v>
      </c>
      <c r="N83">
        <v>4</v>
      </c>
      <c r="O83" t="s">
        <v>40</v>
      </c>
    </row>
    <row r="84" spans="1:15" x14ac:dyDescent="0.3">
      <c r="A84">
        <v>83</v>
      </c>
      <c r="B84" t="s">
        <v>118</v>
      </c>
      <c r="C84">
        <v>20</v>
      </c>
      <c r="D84" t="s">
        <v>23</v>
      </c>
      <c r="E84" t="s">
        <v>45</v>
      </c>
      <c r="F84" t="s">
        <v>33</v>
      </c>
      <c r="G84" t="s">
        <v>29</v>
      </c>
      <c r="H84">
        <v>4</v>
      </c>
      <c r="I84">
        <v>1083</v>
      </c>
      <c r="J84">
        <v>5083</v>
      </c>
      <c r="K84">
        <v>53937</v>
      </c>
      <c r="L84" t="s">
        <v>30</v>
      </c>
      <c r="M84">
        <v>86</v>
      </c>
      <c r="N84">
        <v>4</v>
      </c>
      <c r="O84" t="s">
        <v>40</v>
      </c>
    </row>
    <row r="85" spans="1:15" x14ac:dyDescent="0.3">
      <c r="A85">
        <v>84</v>
      </c>
      <c r="B85" t="s">
        <v>119</v>
      </c>
      <c r="C85">
        <v>27</v>
      </c>
      <c r="D85" t="s">
        <v>23</v>
      </c>
      <c r="E85" t="s">
        <v>17</v>
      </c>
      <c r="F85" t="s">
        <v>25</v>
      </c>
      <c r="G85" t="s">
        <v>29</v>
      </c>
      <c r="H85">
        <v>3</v>
      </c>
      <c r="I85">
        <v>1084</v>
      </c>
      <c r="J85">
        <v>5084</v>
      </c>
      <c r="K85">
        <v>119134</v>
      </c>
      <c r="L85" t="s">
        <v>38</v>
      </c>
      <c r="M85">
        <v>43</v>
      </c>
      <c r="N85">
        <v>4</v>
      </c>
      <c r="O85" t="s">
        <v>36</v>
      </c>
    </row>
    <row r="86" spans="1:15" x14ac:dyDescent="0.3">
      <c r="A86">
        <v>85</v>
      </c>
      <c r="B86" t="s">
        <v>120</v>
      </c>
      <c r="C86">
        <v>43</v>
      </c>
      <c r="D86" t="s">
        <v>16</v>
      </c>
      <c r="E86" t="s">
        <v>24</v>
      </c>
      <c r="F86" t="s">
        <v>25</v>
      </c>
      <c r="G86" t="s">
        <v>19</v>
      </c>
      <c r="H86">
        <v>17</v>
      </c>
      <c r="I86">
        <v>1085</v>
      </c>
      <c r="J86">
        <v>5085</v>
      </c>
      <c r="K86">
        <v>21651</v>
      </c>
      <c r="L86" t="s">
        <v>38</v>
      </c>
      <c r="M86">
        <v>67</v>
      </c>
      <c r="N86">
        <v>2</v>
      </c>
      <c r="O86" t="s">
        <v>36</v>
      </c>
    </row>
    <row r="87" spans="1:15" x14ac:dyDescent="0.3">
      <c r="A87">
        <v>86</v>
      </c>
      <c r="B87" t="s">
        <v>121</v>
      </c>
      <c r="C87">
        <v>30</v>
      </c>
      <c r="D87" t="s">
        <v>16</v>
      </c>
      <c r="E87" t="s">
        <v>43</v>
      </c>
      <c r="F87" t="s">
        <v>33</v>
      </c>
      <c r="G87" t="s">
        <v>19</v>
      </c>
      <c r="H87">
        <v>18</v>
      </c>
      <c r="I87">
        <v>1086</v>
      </c>
      <c r="J87">
        <v>5086</v>
      </c>
      <c r="K87">
        <v>70288</v>
      </c>
      <c r="L87" t="s">
        <v>20</v>
      </c>
      <c r="M87">
        <v>54</v>
      </c>
      <c r="N87">
        <v>3</v>
      </c>
      <c r="O87" t="s">
        <v>31</v>
      </c>
    </row>
    <row r="88" spans="1:15" x14ac:dyDescent="0.3">
      <c r="A88">
        <v>87</v>
      </c>
      <c r="B88" t="s">
        <v>122</v>
      </c>
      <c r="C88">
        <v>36</v>
      </c>
      <c r="D88" t="s">
        <v>23</v>
      </c>
      <c r="E88" t="s">
        <v>17</v>
      </c>
      <c r="F88" t="s">
        <v>25</v>
      </c>
      <c r="G88" t="s">
        <v>19</v>
      </c>
      <c r="H88">
        <v>3</v>
      </c>
      <c r="I88">
        <v>1087</v>
      </c>
      <c r="J88">
        <v>5087</v>
      </c>
      <c r="K88">
        <v>104730</v>
      </c>
      <c r="L88" t="s">
        <v>38</v>
      </c>
      <c r="M88">
        <v>10</v>
      </c>
      <c r="N88">
        <v>3</v>
      </c>
      <c r="O88" t="s">
        <v>40</v>
      </c>
    </row>
    <row r="89" spans="1:15" x14ac:dyDescent="0.3">
      <c r="A89">
        <v>88</v>
      </c>
      <c r="B89" t="s">
        <v>123</v>
      </c>
      <c r="C89">
        <v>27</v>
      </c>
      <c r="D89" t="s">
        <v>16</v>
      </c>
      <c r="E89" t="s">
        <v>45</v>
      </c>
      <c r="F89" t="s">
        <v>18</v>
      </c>
      <c r="G89" t="s">
        <v>26</v>
      </c>
      <c r="H89">
        <v>6</v>
      </c>
      <c r="I89">
        <v>1088</v>
      </c>
      <c r="J89">
        <v>5088</v>
      </c>
      <c r="K89">
        <v>45051</v>
      </c>
      <c r="L89" t="s">
        <v>20</v>
      </c>
      <c r="M89">
        <v>42</v>
      </c>
      <c r="N89">
        <v>1</v>
      </c>
      <c r="O89" t="s">
        <v>21</v>
      </c>
    </row>
    <row r="90" spans="1:15" x14ac:dyDescent="0.3">
      <c r="A90">
        <v>89</v>
      </c>
      <c r="B90" t="s">
        <v>124</v>
      </c>
      <c r="C90">
        <v>54</v>
      </c>
      <c r="D90" t="s">
        <v>16</v>
      </c>
      <c r="E90" t="s">
        <v>17</v>
      </c>
      <c r="F90" t="s">
        <v>33</v>
      </c>
      <c r="G90" t="s">
        <v>29</v>
      </c>
      <c r="H90">
        <v>9</v>
      </c>
      <c r="I90">
        <v>1089</v>
      </c>
      <c r="J90">
        <v>5089</v>
      </c>
      <c r="K90">
        <v>47386</v>
      </c>
      <c r="L90" t="s">
        <v>27</v>
      </c>
      <c r="M90">
        <v>64</v>
      </c>
      <c r="N90">
        <v>4</v>
      </c>
      <c r="O90" t="s">
        <v>36</v>
      </c>
    </row>
    <row r="91" spans="1:15" x14ac:dyDescent="0.3">
      <c r="A91">
        <v>90</v>
      </c>
      <c r="B91" t="s">
        <v>125</v>
      </c>
      <c r="C91">
        <v>54</v>
      </c>
      <c r="D91" t="s">
        <v>16</v>
      </c>
      <c r="E91" t="s">
        <v>24</v>
      </c>
      <c r="F91" t="s">
        <v>33</v>
      </c>
      <c r="G91" t="s">
        <v>26</v>
      </c>
      <c r="H91">
        <v>17</v>
      </c>
      <c r="I91">
        <v>1090</v>
      </c>
      <c r="J91">
        <v>5090</v>
      </c>
      <c r="K91">
        <v>95054</v>
      </c>
      <c r="L91" t="s">
        <v>27</v>
      </c>
      <c r="M91">
        <v>21</v>
      </c>
      <c r="N91">
        <v>2</v>
      </c>
      <c r="O91" t="s">
        <v>21</v>
      </c>
    </row>
    <row r="92" spans="1:15" x14ac:dyDescent="0.3">
      <c r="A92">
        <v>91</v>
      </c>
      <c r="B92" t="s">
        <v>126</v>
      </c>
      <c r="C92">
        <v>52</v>
      </c>
      <c r="D92" t="s">
        <v>23</v>
      </c>
      <c r="E92" t="s">
        <v>45</v>
      </c>
      <c r="F92" t="s">
        <v>33</v>
      </c>
      <c r="G92" t="s">
        <v>26</v>
      </c>
      <c r="H92">
        <v>18</v>
      </c>
      <c r="I92">
        <v>1091</v>
      </c>
      <c r="J92">
        <v>5091</v>
      </c>
      <c r="K92">
        <v>36184</v>
      </c>
      <c r="L92" t="s">
        <v>38</v>
      </c>
      <c r="M92">
        <v>80</v>
      </c>
      <c r="N92">
        <v>4</v>
      </c>
      <c r="O92" t="s">
        <v>36</v>
      </c>
    </row>
    <row r="93" spans="1:15" x14ac:dyDescent="0.3">
      <c r="A93">
        <v>92</v>
      </c>
      <c r="B93" t="s">
        <v>127</v>
      </c>
      <c r="C93">
        <v>24</v>
      </c>
      <c r="D93" t="s">
        <v>23</v>
      </c>
      <c r="E93" t="s">
        <v>17</v>
      </c>
      <c r="F93" t="s">
        <v>18</v>
      </c>
      <c r="G93" t="s">
        <v>19</v>
      </c>
      <c r="H93">
        <v>3</v>
      </c>
      <c r="I93">
        <v>1092</v>
      </c>
      <c r="J93">
        <v>5092</v>
      </c>
      <c r="K93">
        <v>53787</v>
      </c>
      <c r="L93" t="s">
        <v>38</v>
      </c>
      <c r="M93">
        <v>76</v>
      </c>
      <c r="N93">
        <v>4</v>
      </c>
      <c r="O93" t="s">
        <v>31</v>
      </c>
    </row>
    <row r="94" spans="1:15" x14ac:dyDescent="0.3">
      <c r="A94">
        <v>93</v>
      </c>
      <c r="B94" t="s">
        <v>128</v>
      </c>
      <c r="C94">
        <v>58</v>
      </c>
      <c r="D94" t="s">
        <v>23</v>
      </c>
      <c r="E94" t="s">
        <v>45</v>
      </c>
      <c r="F94" t="s">
        <v>33</v>
      </c>
      <c r="G94" t="s">
        <v>26</v>
      </c>
      <c r="H94">
        <v>9</v>
      </c>
      <c r="I94">
        <v>1093</v>
      </c>
      <c r="J94">
        <v>5093</v>
      </c>
      <c r="K94">
        <v>41621</v>
      </c>
      <c r="L94" t="s">
        <v>30</v>
      </c>
      <c r="M94">
        <v>66</v>
      </c>
      <c r="N94">
        <v>2</v>
      </c>
      <c r="O94" t="s">
        <v>40</v>
      </c>
    </row>
    <row r="95" spans="1:15" x14ac:dyDescent="0.3">
      <c r="A95">
        <v>94</v>
      </c>
      <c r="B95" t="s">
        <v>129</v>
      </c>
      <c r="C95">
        <v>47</v>
      </c>
      <c r="D95" t="s">
        <v>23</v>
      </c>
      <c r="E95" t="s">
        <v>24</v>
      </c>
      <c r="F95" t="s">
        <v>18</v>
      </c>
      <c r="G95" t="s">
        <v>19</v>
      </c>
      <c r="H95">
        <v>0</v>
      </c>
      <c r="I95">
        <v>1094</v>
      </c>
      <c r="J95">
        <v>5094</v>
      </c>
      <c r="K95">
        <v>95564</v>
      </c>
      <c r="L95" t="s">
        <v>38</v>
      </c>
      <c r="M95">
        <v>41</v>
      </c>
      <c r="N95">
        <v>3</v>
      </c>
      <c r="O95" t="s">
        <v>36</v>
      </c>
    </row>
    <row r="96" spans="1:15" x14ac:dyDescent="0.3">
      <c r="A96">
        <v>95</v>
      </c>
      <c r="B96" t="s">
        <v>130</v>
      </c>
      <c r="C96">
        <v>26</v>
      </c>
      <c r="D96" t="s">
        <v>23</v>
      </c>
      <c r="E96" t="s">
        <v>43</v>
      </c>
      <c r="F96" t="s">
        <v>33</v>
      </c>
      <c r="G96" t="s">
        <v>29</v>
      </c>
      <c r="H96">
        <v>17</v>
      </c>
      <c r="I96">
        <v>1095</v>
      </c>
      <c r="J96">
        <v>5095</v>
      </c>
      <c r="K96">
        <v>97984</v>
      </c>
      <c r="L96" t="s">
        <v>30</v>
      </c>
      <c r="M96">
        <v>24</v>
      </c>
      <c r="N96">
        <v>4</v>
      </c>
      <c r="O96" t="s">
        <v>40</v>
      </c>
    </row>
    <row r="97" spans="1:15" x14ac:dyDescent="0.3">
      <c r="A97">
        <v>96</v>
      </c>
      <c r="B97" t="s">
        <v>131</v>
      </c>
      <c r="C97">
        <v>28</v>
      </c>
      <c r="D97" t="s">
        <v>23</v>
      </c>
      <c r="E97" t="s">
        <v>24</v>
      </c>
      <c r="F97" t="s">
        <v>46</v>
      </c>
      <c r="G97" t="s">
        <v>19</v>
      </c>
      <c r="H97">
        <v>4</v>
      </c>
      <c r="I97">
        <v>1096</v>
      </c>
      <c r="J97">
        <v>5096</v>
      </c>
      <c r="K97">
        <v>79792</v>
      </c>
      <c r="L97" t="s">
        <v>27</v>
      </c>
      <c r="M97">
        <v>35</v>
      </c>
      <c r="N97">
        <v>4</v>
      </c>
      <c r="O97" t="s">
        <v>21</v>
      </c>
    </row>
    <row r="98" spans="1:15" x14ac:dyDescent="0.3">
      <c r="A98">
        <v>97</v>
      </c>
      <c r="B98" t="s">
        <v>132</v>
      </c>
      <c r="C98">
        <v>27</v>
      </c>
      <c r="D98" t="s">
        <v>23</v>
      </c>
      <c r="E98" t="s">
        <v>24</v>
      </c>
      <c r="F98" t="s">
        <v>25</v>
      </c>
      <c r="G98" t="s">
        <v>26</v>
      </c>
      <c r="H98">
        <v>14</v>
      </c>
      <c r="I98">
        <v>1097</v>
      </c>
      <c r="J98">
        <v>5097</v>
      </c>
      <c r="K98">
        <v>65253</v>
      </c>
      <c r="L98" t="s">
        <v>27</v>
      </c>
      <c r="M98">
        <v>56</v>
      </c>
      <c r="N98">
        <v>3</v>
      </c>
      <c r="O98" t="s">
        <v>31</v>
      </c>
    </row>
    <row r="99" spans="1:15" x14ac:dyDescent="0.3">
      <c r="A99">
        <v>98</v>
      </c>
      <c r="B99" t="s">
        <v>133</v>
      </c>
      <c r="C99">
        <v>31</v>
      </c>
      <c r="D99" t="s">
        <v>16</v>
      </c>
      <c r="E99" t="s">
        <v>24</v>
      </c>
      <c r="F99" t="s">
        <v>46</v>
      </c>
      <c r="G99" t="s">
        <v>26</v>
      </c>
      <c r="H99">
        <v>16</v>
      </c>
      <c r="I99">
        <v>1098</v>
      </c>
      <c r="J99">
        <v>5098</v>
      </c>
      <c r="K99">
        <v>54051</v>
      </c>
      <c r="L99" t="s">
        <v>20</v>
      </c>
      <c r="M99">
        <v>30</v>
      </c>
      <c r="N99">
        <v>2</v>
      </c>
      <c r="O99" t="s">
        <v>40</v>
      </c>
    </row>
    <row r="100" spans="1:15" x14ac:dyDescent="0.3">
      <c r="A100">
        <v>99</v>
      </c>
      <c r="B100" t="s">
        <v>134</v>
      </c>
      <c r="C100">
        <v>53</v>
      </c>
      <c r="D100" t="s">
        <v>16</v>
      </c>
      <c r="E100" t="s">
        <v>24</v>
      </c>
      <c r="F100" t="s">
        <v>25</v>
      </c>
      <c r="G100" t="s">
        <v>19</v>
      </c>
      <c r="H100">
        <v>2</v>
      </c>
      <c r="I100">
        <v>1099</v>
      </c>
      <c r="J100">
        <v>5099</v>
      </c>
      <c r="K100">
        <v>69811</v>
      </c>
      <c r="L100" t="s">
        <v>27</v>
      </c>
      <c r="M100">
        <v>57</v>
      </c>
      <c r="N100">
        <v>1</v>
      </c>
      <c r="O100" t="s">
        <v>31</v>
      </c>
    </row>
    <row r="101" spans="1:15" x14ac:dyDescent="0.3">
      <c r="A101">
        <v>100</v>
      </c>
      <c r="B101" t="s">
        <v>135</v>
      </c>
      <c r="C101">
        <v>52</v>
      </c>
      <c r="D101" t="s">
        <v>16</v>
      </c>
      <c r="E101" t="s">
        <v>43</v>
      </c>
      <c r="F101" t="s">
        <v>18</v>
      </c>
      <c r="G101" t="s">
        <v>19</v>
      </c>
      <c r="H101">
        <v>11</v>
      </c>
      <c r="I101">
        <v>1100</v>
      </c>
      <c r="J101">
        <v>5100</v>
      </c>
      <c r="K101">
        <v>50447</v>
      </c>
      <c r="L101" t="s">
        <v>30</v>
      </c>
      <c r="M101">
        <v>94</v>
      </c>
      <c r="N101">
        <v>3</v>
      </c>
      <c r="O101" t="s">
        <v>40</v>
      </c>
    </row>
    <row r="102" spans="1:15" x14ac:dyDescent="0.3">
      <c r="A102">
        <v>101</v>
      </c>
      <c r="B102" t="s">
        <v>136</v>
      </c>
      <c r="C102">
        <v>42</v>
      </c>
      <c r="D102" t="s">
        <v>16</v>
      </c>
      <c r="E102" t="s">
        <v>43</v>
      </c>
      <c r="F102" t="s">
        <v>46</v>
      </c>
      <c r="G102" t="s">
        <v>26</v>
      </c>
      <c r="H102">
        <v>1</v>
      </c>
      <c r="I102">
        <v>1101</v>
      </c>
      <c r="J102">
        <v>5101</v>
      </c>
      <c r="K102">
        <v>103930</v>
      </c>
      <c r="L102" t="s">
        <v>38</v>
      </c>
      <c r="M102">
        <v>47</v>
      </c>
      <c r="N102">
        <v>1</v>
      </c>
      <c r="O102" t="s">
        <v>21</v>
      </c>
    </row>
    <row r="103" spans="1:15" x14ac:dyDescent="0.3">
      <c r="A103">
        <v>102</v>
      </c>
      <c r="B103" t="s">
        <v>137</v>
      </c>
      <c r="C103">
        <v>43</v>
      </c>
      <c r="D103" t="s">
        <v>16</v>
      </c>
      <c r="E103" t="s">
        <v>45</v>
      </c>
      <c r="F103" t="s">
        <v>33</v>
      </c>
      <c r="G103" t="s">
        <v>29</v>
      </c>
      <c r="H103">
        <v>0</v>
      </c>
      <c r="I103">
        <v>1102</v>
      </c>
      <c r="J103">
        <v>5102</v>
      </c>
      <c r="K103">
        <v>50254</v>
      </c>
      <c r="L103" t="s">
        <v>20</v>
      </c>
      <c r="M103">
        <v>35</v>
      </c>
      <c r="N103">
        <v>1</v>
      </c>
      <c r="O103" t="s">
        <v>21</v>
      </c>
    </row>
    <row r="104" spans="1:15" x14ac:dyDescent="0.3">
      <c r="A104">
        <v>103</v>
      </c>
      <c r="B104" t="s">
        <v>138</v>
      </c>
      <c r="C104">
        <v>56</v>
      </c>
      <c r="D104" t="s">
        <v>16</v>
      </c>
      <c r="E104" t="s">
        <v>17</v>
      </c>
      <c r="F104" t="s">
        <v>25</v>
      </c>
      <c r="G104" t="s">
        <v>29</v>
      </c>
      <c r="H104">
        <v>16</v>
      </c>
      <c r="I104">
        <v>1103</v>
      </c>
      <c r="J104">
        <v>5103</v>
      </c>
      <c r="K104">
        <v>104045</v>
      </c>
      <c r="L104" t="s">
        <v>30</v>
      </c>
      <c r="M104">
        <v>19</v>
      </c>
      <c r="N104">
        <v>3</v>
      </c>
      <c r="O104" t="s">
        <v>31</v>
      </c>
    </row>
    <row r="105" spans="1:15" x14ac:dyDescent="0.3">
      <c r="A105">
        <v>104</v>
      </c>
      <c r="B105" t="s">
        <v>139</v>
      </c>
      <c r="C105">
        <v>54</v>
      </c>
      <c r="D105" t="s">
        <v>16</v>
      </c>
      <c r="E105" t="s">
        <v>43</v>
      </c>
      <c r="F105" t="s">
        <v>25</v>
      </c>
      <c r="G105" t="s">
        <v>19</v>
      </c>
      <c r="H105">
        <v>15</v>
      </c>
      <c r="I105">
        <v>1104</v>
      </c>
      <c r="J105">
        <v>5104</v>
      </c>
      <c r="K105">
        <v>77418</v>
      </c>
      <c r="L105" t="s">
        <v>38</v>
      </c>
      <c r="M105">
        <v>8</v>
      </c>
      <c r="N105">
        <v>4</v>
      </c>
      <c r="O105" t="s">
        <v>21</v>
      </c>
    </row>
    <row r="106" spans="1:15" x14ac:dyDescent="0.3">
      <c r="A106">
        <v>105</v>
      </c>
      <c r="B106" t="s">
        <v>140</v>
      </c>
      <c r="C106">
        <v>59</v>
      </c>
      <c r="D106" t="s">
        <v>23</v>
      </c>
      <c r="E106" t="s">
        <v>43</v>
      </c>
      <c r="F106" t="s">
        <v>46</v>
      </c>
      <c r="G106" t="s">
        <v>29</v>
      </c>
      <c r="H106">
        <v>4</v>
      </c>
      <c r="I106">
        <v>1105</v>
      </c>
      <c r="J106">
        <v>5105</v>
      </c>
      <c r="K106">
        <v>34472</v>
      </c>
      <c r="L106" t="s">
        <v>20</v>
      </c>
      <c r="M106">
        <v>26</v>
      </c>
      <c r="N106">
        <v>1</v>
      </c>
      <c r="O106" t="s">
        <v>36</v>
      </c>
    </row>
    <row r="107" spans="1:15" x14ac:dyDescent="0.3">
      <c r="A107">
        <v>106</v>
      </c>
      <c r="B107" t="s">
        <v>141</v>
      </c>
      <c r="C107">
        <v>41</v>
      </c>
      <c r="D107" t="s">
        <v>23</v>
      </c>
      <c r="E107" t="s">
        <v>17</v>
      </c>
      <c r="F107" t="s">
        <v>18</v>
      </c>
      <c r="G107" t="s">
        <v>26</v>
      </c>
      <c r="H107">
        <v>14</v>
      </c>
      <c r="I107">
        <v>1106</v>
      </c>
      <c r="J107">
        <v>5106</v>
      </c>
      <c r="K107">
        <v>23471</v>
      </c>
      <c r="L107" t="s">
        <v>27</v>
      </c>
      <c r="M107">
        <v>71</v>
      </c>
      <c r="N107">
        <v>1</v>
      </c>
      <c r="O107" t="s">
        <v>40</v>
      </c>
    </row>
    <row r="108" spans="1:15" x14ac:dyDescent="0.3">
      <c r="A108">
        <v>107</v>
      </c>
      <c r="B108" t="s">
        <v>142</v>
      </c>
      <c r="C108">
        <v>46</v>
      </c>
      <c r="D108" t="s">
        <v>16</v>
      </c>
      <c r="E108" t="s">
        <v>43</v>
      </c>
      <c r="F108" t="s">
        <v>46</v>
      </c>
      <c r="G108" t="s">
        <v>19</v>
      </c>
      <c r="H108">
        <v>2</v>
      </c>
      <c r="I108">
        <v>1107</v>
      </c>
      <c r="J108">
        <v>5107</v>
      </c>
      <c r="K108">
        <v>115804</v>
      </c>
      <c r="L108" t="s">
        <v>30</v>
      </c>
      <c r="M108">
        <v>30</v>
      </c>
      <c r="N108">
        <v>2</v>
      </c>
      <c r="O108" t="s">
        <v>21</v>
      </c>
    </row>
    <row r="109" spans="1:15" x14ac:dyDescent="0.3">
      <c r="A109">
        <v>108</v>
      </c>
      <c r="B109" t="s">
        <v>143</v>
      </c>
      <c r="C109">
        <v>54</v>
      </c>
      <c r="D109" t="s">
        <v>16</v>
      </c>
      <c r="E109" t="s">
        <v>24</v>
      </c>
      <c r="F109" t="s">
        <v>18</v>
      </c>
      <c r="G109" t="s">
        <v>26</v>
      </c>
      <c r="H109">
        <v>6</v>
      </c>
      <c r="I109">
        <v>1108</v>
      </c>
      <c r="J109">
        <v>5108</v>
      </c>
      <c r="K109">
        <v>28329</v>
      </c>
      <c r="L109" t="s">
        <v>38</v>
      </c>
      <c r="M109">
        <v>7</v>
      </c>
      <c r="N109">
        <v>4</v>
      </c>
      <c r="O109" t="s">
        <v>36</v>
      </c>
    </row>
    <row r="110" spans="1:15" x14ac:dyDescent="0.3">
      <c r="A110">
        <v>109</v>
      </c>
      <c r="B110" t="s">
        <v>144</v>
      </c>
      <c r="C110">
        <v>20</v>
      </c>
      <c r="D110" t="s">
        <v>23</v>
      </c>
      <c r="E110" t="s">
        <v>24</v>
      </c>
      <c r="F110" t="s">
        <v>18</v>
      </c>
      <c r="G110" t="s">
        <v>26</v>
      </c>
      <c r="H110">
        <v>10</v>
      </c>
      <c r="I110">
        <v>1109</v>
      </c>
      <c r="J110">
        <v>5109</v>
      </c>
      <c r="K110">
        <v>54865</v>
      </c>
      <c r="L110" t="s">
        <v>20</v>
      </c>
      <c r="M110">
        <v>67</v>
      </c>
      <c r="N110">
        <v>1</v>
      </c>
      <c r="O110" t="s">
        <v>31</v>
      </c>
    </row>
    <row r="111" spans="1:15" x14ac:dyDescent="0.3">
      <c r="A111">
        <v>110</v>
      </c>
      <c r="B111" t="s">
        <v>145</v>
      </c>
      <c r="C111">
        <v>54</v>
      </c>
      <c r="D111" t="s">
        <v>16</v>
      </c>
      <c r="E111" t="s">
        <v>17</v>
      </c>
      <c r="F111" t="s">
        <v>25</v>
      </c>
      <c r="G111" t="s">
        <v>29</v>
      </c>
      <c r="H111">
        <v>9</v>
      </c>
      <c r="I111">
        <v>1110</v>
      </c>
      <c r="J111">
        <v>5110</v>
      </c>
      <c r="K111">
        <v>66850</v>
      </c>
      <c r="L111" t="s">
        <v>20</v>
      </c>
      <c r="M111">
        <v>65</v>
      </c>
      <c r="N111">
        <v>2</v>
      </c>
      <c r="O111" t="s">
        <v>36</v>
      </c>
    </row>
    <row r="112" spans="1:15" x14ac:dyDescent="0.3">
      <c r="A112">
        <v>111</v>
      </c>
      <c r="B112" t="s">
        <v>146</v>
      </c>
      <c r="C112">
        <v>56</v>
      </c>
      <c r="D112" t="s">
        <v>16</v>
      </c>
      <c r="E112" t="s">
        <v>45</v>
      </c>
      <c r="F112" t="s">
        <v>46</v>
      </c>
      <c r="G112" t="s">
        <v>19</v>
      </c>
      <c r="H112">
        <v>8</v>
      </c>
      <c r="I112">
        <v>1111</v>
      </c>
      <c r="J112">
        <v>5111</v>
      </c>
      <c r="K112">
        <v>74220</v>
      </c>
      <c r="L112" t="s">
        <v>27</v>
      </c>
      <c r="M112">
        <v>36</v>
      </c>
      <c r="N112">
        <v>4</v>
      </c>
      <c r="O112" t="s">
        <v>31</v>
      </c>
    </row>
    <row r="113" spans="1:15" x14ac:dyDescent="0.3">
      <c r="A113">
        <v>112</v>
      </c>
      <c r="B113" t="s">
        <v>147</v>
      </c>
      <c r="C113">
        <v>33</v>
      </c>
      <c r="D113" t="s">
        <v>23</v>
      </c>
      <c r="E113" t="s">
        <v>45</v>
      </c>
      <c r="F113" t="s">
        <v>46</v>
      </c>
      <c r="G113" t="s">
        <v>19</v>
      </c>
      <c r="H113">
        <v>13</v>
      </c>
      <c r="I113">
        <v>1112</v>
      </c>
      <c r="J113">
        <v>5112</v>
      </c>
      <c r="K113">
        <v>113808</v>
      </c>
      <c r="L113" t="s">
        <v>38</v>
      </c>
      <c r="M113">
        <v>25</v>
      </c>
      <c r="N113">
        <v>3</v>
      </c>
      <c r="O113" t="s">
        <v>31</v>
      </c>
    </row>
    <row r="114" spans="1:15" x14ac:dyDescent="0.3">
      <c r="A114">
        <v>113</v>
      </c>
      <c r="B114" t="s">
        <v>148</v>
      </c>
      <c r="C114">
        <v>22</v>
      </c>
      <c r="D114" t="s">
        <v>16</v>
      </c>
      <c r="E114" t="s">
        <v>17</v>
      </c>
      <c r="F114" t="s">
        <v>18</v>
      </c>
      <c r="G114" t="s">
        <v>29</v>
      </c>
      <c r="H114">
        <v>12</v>
      </c>
      <c r="I114">
        <v>1113</v>
      </c>
      <c r="J114">
        <v>5113</v>
      </c>
      <c r="K114">
        <v>26397</v>
      </c>
      <c r="L114" t="s">
        <v>27</v>
      </c>
      <c r="M114">
        <v>37</v>
      </c>
      <c r="N114">
        <v>3</v>
      </c>
      <c r="O114" t="s">
        <v>40</v>
      </c>
    </row>
    <row r="115" spans="1:15" x14ac:dyDescent="0.3">
      <c r="A115">
        <v>114</v>
      </c>
      <c r="B115" t="s">
        <v>149</v>
      </c>
      <c r="C115">
        <v>20</v>
      </c>
      <c r="D115" t="s">
        <v>23</v>
      </c>
      <c r="E115" t="s">
        <v>17</v>
      </c>
      <c r="F115" t="s">
        <v>46</v>
      </c>
      <c r="G115" t="s">
        <v>26</v>
      </c>
      <c r="H115">
        <v>1</v>
      </c>
      <c r="I115">
        <v>1114</v>
      </c>
      <c r="J115">
        <v>5114</v>
      </c>
      <c r="K115">
        <v>117909</v>
      </c>
      <c r="L115" t="s">
        <v>27</v>
      </c>
      <c r="M115">
        <v>1</v>
      </c>
      <c r="N115">
        <v>2</v>
      </c>
      <c r="O115" t="s">
        <v>40</v>
      </c>
    </row>
    <row r="116" spans="1:15" x14ac:dyDescent="0.3">
      <c r="A116">
        <v>115</v>
      </c>
      <c r="B116" t="s">
        <v>150</v>
      </c>
      <c r="C116">
        <v>24</v>
      </c>
      <c r="D116" t="s">
        <v>16</v>
      </c>
      <c r="E116" t="s">
        <v>24</v>
      </c>
      <c r="F116" t="s">
        <v>33</v>
      </c>
      <c r="G116" t="s">
        <v>26</v>
      </c>
      <c r="H116">
        <v>2</v>
      </c>
      <c r="I116">
        <v>1115</v>
      </c>
      <c r="J116">
        <v>5115</v>
      </c>
      <c r="K116">
        <v>55525</v>
      </c>
      <c r="L116" t="s">
        <v>38</v>
      </c>
      <c r="M116">
        <v>15</v>
      </c>
      <c r="N116">
        <v>3</v>
      </c>
      <c r="O116" t="s">
        <v>36</v>
      </c>
    </row>
    <row r="117" spans="1:15" x14ac:dyDescent="0.3">
      <c r="A117">
        <v>116</v>
      </c>
      <c r="B117" t="s">
        <v>151</v>
      </c>
      <c r="C117">
        <v>45</v>
      </c>
      <c r="D117" t="s">
        <v>23</v>
      </c>
      <c r="E117" t="s">
        <v>45</v>
      </c>
      <c r="F117" t="s">
        <v>33</v>
      </c>
      <c r="G117" t="s">
        <v>26</v>
      </c>
      <c r="H117">
        <v>6</v>
      </c>
      <c r="I117">
        <v>1116</v>
      </c>
      <c r="J117">
        <v>5116</v>
      </c>
      <c r="K117">
        <v>73072</v>
      </c>
      <c r="L117" t="s">
        <v>38</v>
      </c>
      <c r="M117">
        <v>37</v>
      </c>
      <c r="N117">
        <v>1</v>
      </c>
      <c r="O117" t="s">
        <v>40</v>
      </c>
    </row>
    <row r="118" spans="1:15" x14ac:dyDescent="0.3">
      <c r="A118">
        <v>117</v>
      </c>
      <c r="B118" t="s">
        <v>152</v>
      </c>
      <c r="C118">
        <v>33</v>
      </c>
      <c r="D118" t="s">
        <v>23</v>
      </c>
      <c r="E118" t="s">
        <v>43</v>
      </c>
      <c r="F118" t="s">
        <v>46</v>
      </c>
      <c r="G118" t="s">
        <v>26</v>
      </c>
      <c r="H118">
        <v>17</v>
      </c>
      <c r="I118">
        <v>1117</v>
      </c>
      <c r="J118">
        <v>5117</v>
      </c>
      <c r="K118">
        <v>110106</v>
      </c>
      <c r="L118" t="s">
        <v>38</v>
      </c>
      <c r="M118">
        <v>13</v>
      </c>
      <c r="N118">
        <v>4</v>
      </c>
      <c r="O118" t="s">
        <v>40</v>
      </c>
    </row>
    <row r="119" spans="1:15" x14ac:dyDescent="0.3">
      <c r="A119">
        <v>118</v>
      </c>
      <c r="B119" t="s">
        <v>153</v>
      </c>
      <c r="C119">
        <v>58</v>
      </c>
      <c r="D119" t="s">
        <v>23</v>
      </c>
      <c r="E119" t="s">
        <v>24</v>
      </c>
      <c r="F119" t="s">
        <v>46</v>
      </c>
      <c r="G119" t="s">
        <v>19</v>
      </c>
      <c r="H119">
        <v>2</v>
      </c>
      <c r="I119">
        <v>1118</v>
      </c>
      <c r="J119">
        <v>5118</v>
      </c>
      <c r="K119">
        <v>103820</v>
      </c>
      <c r="L119" t="s">
        <v>30</v>
      </c>
      <c r="M119">
        <v>8</v>
      </c>
      <c r="N119">
        <v>1</v>
      </c>
      <c r="O119" t="s">
        <v>40</v>
      </c>
    </row>
    <row r="120" spans="1:15" x14ac:dyDescent="0.3">
      <c r="A120">
        <v>119</v>
      </c>
      <c r="B120" t="s">
        <v>154</v>
      </c>
      <c r="C120">
        <v>46</v>
      </c>
      <c r="D120" t="s">
        <v>16</v>
      </c>
      <c r="E120" t="s">
        <v>17</v>
      </c>
      <c r="F120" t="s">
        <v>18</v>
      </c>
      <c r="G120" t="s">
        <v>19</v>
      </c>
      <c r="H120">
        <v>9</v>
      </c>
      <c r="I120">
        <v>1119</v>
      </c>
      <c r="J120">
        <v>5119</v>
      </c>
      <c r="K120">
        <v>104530</v>
      </c>
      <c r="L120" t="s">
        <v>38</v>
      </c>
      <c r="M120">
        <v>5</v>
      </c>
      <c r="N120">
        <v>1</v>
      </c>
      <c r="O120" t="s">
        <v>36</v>
      </c>
    </row>
    <row r="121" spans="1:15" x14ac:dyDescent="0.3">
      <c r="A121">
        <v>120</v>
      </c>
      <c r="B121" t="s">
        <v>155</v>
      </c>
      <c r="C121">
        <v>28</v>
      </c>
      <c r="D121" t="s">
        <v>23</v>
      </c>
      <c r="E121" t="s">
        <v>45</v>
      </c>
      <c r="F121" t="s">
        <v>33</v>
      </c>
      <c r="G121" t="s">
        <v>29</v>
      </c>
      <c r="H121">
        <v>6</v>
      </c>
      <c r="I121">
        <v>1120</v>
      </c>
      <c r="J121">
        <v>5120</v>
      </c>
      <c r="K121">
        <v>43284</v>
      </c>
      <c r="L121" t="s">
        <v>20</v>
      </c>
      <c r="M121">
        <v>60</v>
      </c>
      <c r="N121">
        <v>3</v>
      </c>
      <c r="O121" t="s">
        <v>21</v>
      </c>
    </row>
    <row r="122" spans="1:15" x14ac:dyDescent="0.3">
      <c r="A122">
        <v>121</v>
      </c>
      <c r="B122" t="s">
        <v>156</v>
      </c>
      <c r="C122">
        <v>34</v>
      </c>
      <c r="D122" t="s">
        <v>16</v>
      </c>
      <c r="E122" t="s">
        <v>43</v>
      </c>
      <c r="F122" t="s">
        <v>33</v>
      </c>
      <c r="G122" t="s">
        <v>29</v>
      </c>
      <c r="H122">
        <v>8</v>
      </c>
      <c r="I122">
        <v>1121</v>
      </c>
      <c r="J122">
        <v>5121</v>
      </c>
      <c r="K122">
        <v>81330</v>
      </c>
      <c r="L122" t="s">
        <v>27</v>
      </c>
      <c r="M122">
        <v>73</v>
      </c>
      <c r="N122">
        <v>1</v>
      </c>
      <c r="O122" t="s">
        <v>40</v>
      </c>
    </row>
    <row r="123" spans="1:15" x14ac:dyDescent="0.3">
      <c r="A123">
        <v>122</v>
      </c>
      <c r="B123" t="s">
        <v>157</v>
      </c>
      <c r="C123">
        <v>34</v>
      </c>
      <c r="D123" t="s">
        <v>16</v>
      </c>
      <c r="E123" t="s">
        <v>43</v>
      </c>
      <c r="F123" t="s">
        <v>25</v>
      </c>
      <c r="G123" t="s">
        <v>19</v>
      </c>
      <c r="H123">
        <v>16</v>
      </c>
      <c r="I123">
        <v>1122</v>
      </c>
      <c r="J123">
        <v>5122</v>
      </c>
      <c r="K123">
        <v>103369</v>
      </c>
      <c r="L123" t="s">
        <v>30</v>
      </c>
      <c r="M123">
        <v>1</v>
      </c>
      <c r="N123">
        <v>3</v>
      </c>
      <c r="O123" t="s">
        <v>40</v>
      </c>
    </row>
    <row r="124" spans="1:15" x14ac:dyDescent="0.3">
      <c r="A124">
        <v>123</v>
      </c>
      <c r="B124" t="s">
        <v>158</v>
      </c>
      <c r="C124">
        <v>45</v>
      </c>
      <c r="D124" t="s">
        <v>16</v>
      </c>
      <c r="E124" t="s">
        <v>24</v>
      </c>
      <c r="F124" t="s">
        <v>18</v>
      </c>
      <c r="G124" t="s">
        <v>19</v>
      </c>
      <c r="H124">
        <v>10</v>
      </c>
      <c r="I124">
        <v>1123</v>
      </c>
      <c r="J124">
        <v>5123</v>
      </c>
      <c r="K124">
        <v>45122</v>
      </c>
      <c r="L124" t="s">
        <v>38</v>
      </c>
      <c r="M124">
        <v>36</v>
      </c>
      <c r="N124">
        <v>4</v>
      </c>
      <c r="O124" t="s">
        <v>36</v>
      </c>
    </row>
    <row r="125" spans="1:15" x14ac:dyDescent="0.3">
      <c r="A125">
        <v>124</v>
      </c>
      <c r="B125" t="s">
        <v>159</v>
      </c>
      <c r="C125">
        <v>32</v>
      </c>
      <c r="D125" t="s">
        <v>16</v>
      </c>
      <c r="E125" t="s">
        <v>45</v>
      </c>
      <c r="F125" t="s">
        <v>25</v>
      </c>
      <c r="G125" t="s">
        <v>26</v>
      </c>
      <c r="H125">
        <v>6</v>
      </c>
      <c r="I125">
        <v>1124</v>
      </c>
      <c r="J125">
        <v>5124</v>
      </c>
      <c r="K125">
        <v>90553</v>
      </c>
      <c r="L125" t="s">
        <v>30</v>
      </c>
      <c r="M125">
        <v>35</v>
      </c>
      <c r="N125">
        <v>4</v>
      </c>
      <c r="O125" t="s">
        <v>21</v>
      </c>
    </row>
    <row r="126" spans="1:15" x14ac:dyDescent="0.3">
      <c r="A126">
        <v>125</v>
      </c>
      <c r="B126" t="s">
        <v>160</v>
      </c>
      <c r="C126">
        <v>51</v>
      </c>
      <c r="D126" t="s">
        <v>23</v>
      </c>
      <c r="E126" t="s">
        <v>45</v>
      </c>
      <c r="F126" t="s">
        <v>33</v>
      </c>
      <c r="G126" t="s">
        <v>26</v>
      </c>
      <c r="H126">
        <v>13</v>
      </c>
      <c r="I126">
        <v>1125</v>
      </c>
      <c r="J126">
        <v>5125</v>
      </c>
      <c r="K126">
        <v>101906</v>
      </c>
      <c r="L126" t="s">
        <v>38</v>
      </c>
      <c r="M126">
        <v>66</v>
      </c>
      <c r="N126">
        <v>1</v>
      </c>
      <c r="O126" t="s">
        <v>40</v>
      </c>
    </row>
    <row r="127" spans="1:15" x14ac:dyDescent="0.3">
      <c r="A127">
        <v>126</v>
      </c>
      <c r="B127" t="s">
        <v>161</v>
      </c>
      <c r="C127">
        <v>58</v>
      </c>
      <c r="D127" t="s">
        <v>23</v>
      </c>
      <c r="E127" t="s">
        <v>17</v>
      </c>
      <c r="F127" t="s">
        <v>18</v>
      </c>
      <c r="G127" t="s">
        <v>29</v>
      </c>
      <c r="H127">
        <v>18</v>
      </c>
      <c r="I127">
        <v>1126</v>
      </c>
      <c r="J127">
        <v>5126</v>
      </c>
      <c r="K127">
        <v>114788</v>
      </c>
      <c r="L127" t="s">
        <v>30</v>
      </c>
      <c r="M127">
        <v>63</v>
      </c>
      <c r="N127">
        <v>2</v>
      </c>
      <c r="O127" t="s">
        <v>31</v>
      </c>
    </row>
    <row r="128" spans="1:15" x14ac:dyDescent="0.3">
      <c r="A128">
        <v>127</v>
      </c>
      <c r="B128" t="s">
        <v>162</v>
      </c>
      <c r="C128">
        <v>51</v>
      </c>
      <c r="D128" t="s">
        <v>16</v>
      </c>
      <c r="E128" t="s">
        <v>45</v>
      </c>
      <c r="F128" t="s">
        <v>46</v>
      </c>
      <c r="G128" t="s">
        <v>19</v>
      </c>
      <c r="H128">
        <v>3</v>
      </c>
      <c r="I128">
        <v>1127</v>
      </c>
      <c r="J128">
        <v>5127</v>
      </c>
      <c r="K128">
        <v>82812</v>
      </c>
      <c r="L128" t="s">
        <v>27</v>
      </c>
      <c r="M128">
        <v>23</v>
      </c>
      <c r="N128">
        <v>3</v>
      </c>
      <c r="O128" t="s">
        <v>36</v>
      </c>
    </row>
    <row r="129" spans="1:15" x14ac:dyDescent="0.3">
      <c r="A129">
        <v>128</v>
      </c>
      <c r="B129" t="s">
        <v>163</v>
      </c>
      <c r="C129">
        <v>23</v>
      </c>
      <c r="D129" t="s">
        <v>16</v>
      </c>
      <c r="E129" t="s">
        <v>45</v>
      </c>
      <c r="F129" t="s">
        <v>18</v>
      </c>
      <c r="G129" t="s">
        <v>29</v>
      </c>
      <c r="H129">
        <v>5</v>
      </c>
      <c r="I129">
        <v>1128</v>
      </c>
      <c r="J129">
        <v>5128</v>
      </c>
      <c r="K129">
        <v>27999</v>
      </c>
      <c r="L129" t="s">
        <v>27</v>
      </c>
      <c r="M129">
        <v>9</v>
      </c>
      <c r="N129">
        <v>3</v>
      </c>
      <c r="O129" t="s">
        <v>40</v>
      </c>
    </row>
    <row r="130" spans="1:15" x14ac:dyDescent="0.3">
      <c r="A130">
        <v>129</v>
      </c>
      <c r="B130" t="s">
        <v>164</v>
      </c>
      <c r="C130">
        <v>49</v>
      </c>
      <c r="D130" t="s">
        <v>23</v>
      </c>
      <c r="E130" t="s">
        <v>24</v>
      </c>
      <c r="F130" t="s">
        <v>46</v>
      </c>
      <c r="G130" t="s">
        <v>19</v>
      </c>
      <c r="H130">
        <v>9</v>
      </c>
      <c r="I130">
        <v>1129</v>
      </c>
      <c r="J130">
        <v>5129</v>
      </c>
      <c r="K130">
        <v>42436</v>
      </c>
      <c r="L130" t="s">
        <v>20</v>
      </c>
      <c r="M130">
        <v>34</v>
      </c>
      <c r="N130">
        <v>1</v>
      </c>
      <c r="O130" t="s">
        <v>40</v>
      </c>
    </row>
    <row r="131" spans="1:15" x14ac:dyDescent="0.3">
      <c r="A131">
        <v>130</v>
      </c>
      <c r="B131" t="s">
        <v>165</v>
      </c>
      <c r="C131">
        <v>56</v>
      </c>
      <c r="D131" t="s">
        <v>16</v>
      </c>
      <c r="E131" t="s">
        <v>45</v>
      </c>
      <c r="F131" t="s">
        <v>46</v>
      </c>
      <c r="G131" t="s">
        <v>26</v>
      </c>
      <c r="H131">
        <v>6</v>
      </c>
      <c r="I131">
        <v>1130</v>
      </c>
      <c r="J131">
        <v>5130</v>
      </c>
      <c r="K131">
        <v>62963</v>
      </c>
      <c r="L131" t="s">
        <v>20</v>
      </c>
      <c r="M131">
        <v>46</v>
      </c>
      <c r="N131">
        <v>3</v>
      </c>
      <c r="O131" t="s">
        <v>31</v>
      </c>
    </row>
    <row r="132" spans="1:15" x14ac:dyDescent="0.3">
      <c r="A132">
        <v>131</v>
      </c>
      <c r="B132" t="s">
        <v>166</v>
      </c>
      <c r="C132">
        <v>42</v>
      </c>
      <c r="D132" t="s">
        <v>23</v>
      </c>
      <c r="E132" t="s">
        <v>43</v>
      </c>
      <c r="F132" t="s">
        <v>18</v>
      </c>
      <c r="G132" t="s">
        <v>29</v>
      </c>
      <c r="H132">
        <v>12</v>
      </c>
      <c r="I132">
        <v>1131</v>
      </c>
      <c r="J132">
        <v>5131</v>
      </c>
      <c r="K132">
        <v>22096</v>
      </c>
      <c r="L132" t="s">
        <v>38</v>
      </c>
      <c r="M132">
        <v>78</v>
      </c>
      <c r="N132">
        <v>3</v>
      </c>
      <c r="O132" t="s">
        <v>31</v>
      </c>
    </row>
    <row r="133" spans="1:15" x14ac:dyDescent="0.3">
      <c r="A133">
        <v>132</v>
      </c>
      <c r="B133" t="s">
        <v>167</v>
      </c>
      <c r="C133">
        <v>58</v>
      </c>
      <c r="D133" t="s">
        <v>16</v>
      </c>
      <c r="E133" t="s">
        <v>24</v>
      </c>
      <c r="F133" t="s">
        <v>46</v>
      </c>
      <c r="G133" t="s">
        <v>29</v>
      </c>
      <c r="H133">
        <v>13</v>
      </c>
      <c r="I133">
        <v>1132</v>
      </c>
      <c r="J133">
        <v>5132</v>
      </c>
      <c r="K133">
        <v>45279</v>
      </c>
      <c r="L133" t="s">
        <v>27</v>
      </c>
      <c r="M133">
        <v>4</v>
      </c>
      <c r="N133">
        <v>2</v>
      </c>
      <c r="O133" t="s">
        <v>36</v>
      </c>
    </row>
    <row r="134" spans="1:15" x14ac:dyDescent="0.3">
      <c r="A134">
        <v>133</v>
      </c>
      <c r="B134" t="s">
        <v>168</v>
      </c>
      <c r="C134">
        <v>34</v>
      </c>
      <c r="D134" t="s">
        <v>16</v>
      </c>
      <c r="E134" t="s">
        <v>24</v>
      </c>
      <c r="F134" t="s">
        <v>25</v>
      </c>
      <c r="G134" t="s">
        <v>19</v>
      </c>
      <c r="H134">
        <v>3</v>
      </c>
      <c r="I134">
        <v>1133</v>
      </c>
      <c r="J134">
        <v>5133</v>
      </c>
      <c r="K134">
        <v>46201</v>
      </c>
      <c r="L134" t="s">
        <v>30</v>
      </c>
      <c r="M134">
        <v>30</v>
      </c>
      <c r="N134">
        <v>2</v>
      </c>
      <c r="O134" t="s">
        <v>36</v>
      </c>
    </row>
    <row r="135" spans="1:15" x14ac:dyDescent="0.3">
      <c r="A135">
        <v>134</v>
      </c>
      <c r="B135" t="s">
        <v>169</v>
      </c>
      <c r="C135">
        <v>48</v>
      </c>
      <c r="D135" t="s">
        <v>23</v>
      </c>
      <c r="E135" t="s">
        <v>17</v>
      </c>
      <c r="F135" t="s">
        <v>33</v>
      </c>
      <c r="G135" t="s">
        <v>26</v>
      </c>
      <c r="H135">
        <v>7</v>
      </c>
      <c r="I135">
        <v>1134</v>
      </c>
      <c r="J135">
        <v>5134</v>
      </c>
      <c r="K135">
        <v>39715</v>
      </c>
      <c r="L135" t="s">
        <v>30</v>
      </c>
      <c r="M135">
        <v>95</v>
      </c>
      <c r="N135">
        <v>1</v>
      </c>
      <c r="O135" t="s">
        <v>31</v>
      </c>
    </row>
    <row r="136" spans="1:15" x14ac:dyDescent="0.3">
      <c r="A136">
        <v>135</v>
      </c>
      <c r="B136" t="s">
        <v>170</v>
      </c>
      <c r="C136">
        <v>55</v>
      </c>
      <c r="D136" t="s">
        <v>16</v>
      </c>
      <c r="E136" t="s">
        <v>45</v>
      </c>
      <c r="F136" t="s">
        <v>46</v>
      </c>
      <c r="G136" t="s">
        <v>29</v>
      </c>
      <c r="H136">
        <v>4</v>
      </c>
      <c r="I136">
        <v>1135</v>
      </c>
      <c r="J136">
        <v>5135</v>
      </c>
      <c r="K136">
        <v>49309</v>
      </c>
      <c r="L136" t="s">
        <v>30</v>
      </c>
      <c r="M136">
        <v>75</v>
      </c>
      <c r="N136">
        <v>2</v>
      </c>
      <c r="O136" t="s">
        <v>36</v>
      </c>
    </row>
    <row r="137" spans="1:15" x14ac:dyDescent="0.3">
      <c r="A137">
        <v>136</v>
      </c>
      <c r="B137" t="s">
        <v>171</v>
      </c>
      <c r="C137">
        <v>32</v>
      </c>
      <c r="D137" t="s">
        <v>23</v>
      </c>
      <c r="E137" t="s">
        <v>17</v>
      </c>
      <c r="F137" t="s">
        <v>25</v>
      </c>
      <c r="G137" t="s">
        <v>26</v>
      </c>
      <c r="H137">
        <v>0</v>
      </c>
      <c r="I137">
        <v>1136</v>
      </c>
      <c r="J137">
        <v>5136</v>
      </c>
      <c r="K137">
        <v>35078</v>
      </c>
      <c r="L137" t="s">
        <v>20</v>
      </c>
      <c r="M137">
        <v>99</v>
      </c>
      <c r="N137">
        <v>1</v>
      </c>
      <c r="O137" t="s">
        <v>31</v>
      </c>
    </row>
    <row r="138" spans="1:15" x14ac:dyDescent="0.3">
      <c r="A138">
        <v>137</v>
      </c>
      <c r="B138" t="s">
        <v>172</v>
      </c>
      <c r="C138">
        <v>51</v>
      </c>
      <c r="D138" t="s">
        <v>16</v>
      </c>
      <c r="E138" t="s">
        <v>43</v>
      </c>
      <c r="F138" t="s">
        <v>46</v>
      </c>
      <c r="G138" t="s">
        <v>29</v>
      </c>
      <c r="H138">
        <v>3</v>
      </c>
      <c r="I138">
        <v>1137</v>
      </c>
      <c r="J138">
        <v>5137</v>
      </c>
      <c r="K138">
        <v>76614</v>
      </c>
      <c r="L138" t="s">
        <v>30</v>
      </c>
      <c r="M138">
        <v>72</v>
      </c>
      <c r="N138">
        <v>4</v>
      </c>
      <c r="O138" t="s">
        <v>40</v>
      </c>
    </row>
    <row r="139" spans="1:15" x14ac:dyDescent="0.3">
      <c r="A139">
        <v>138</v>
      </c>
      <c r="B139" t="s">
        <v>173</v>
      </c>
      <c r="C139">
        <v>26</v>
      </c>
      <c r="D139" t="s">
        <v>16</v>
      </c>
      <c r="E139" t="s">
        <v>24</v>
      </c>
      <c r="F139" t="s">
        <v>33</v>
      </c>
      <c r="G139" t="s">
        <v>26</v>
      </c>
      <c r="H139">
        <v>2</v>
      </c>
      <c r="I139">
        <v>1138</v>
      </c>
      <c r="J139">
        <v>5138</v>
      </c>
      <c r="K139">
        <v>25105</v>
      </c>
      <c r="L139" t="s">
        <v>20</v>
      </c>
      <c r="M139">
        <v>3</v>
      </c>
      <c r="N139">
        <v>1</v>
      </c>
      <c r="O139" t="s">
        <v>31</v>
      </c>
    </row>
    <row r="140" spans="1:15" x14ac:dyDescent="0.3">
      <c r="A140">
        <v>139</v>
      </c>
      <c r="B140" t="s">
        <v>174</v>
      </c>
      <c r="C140">
        <v>41</v>
      </c>
      <c r="D140" t="s">
        <v>16</v>
      </c>
      <c r="E140" t="s">
        <v>24</v>
      </c>
      <c r="F140" t="s">
        <v>25</v>
      </c>
      <c r="G140" t="s">
        <v>19</v>
      </c>
      <c r="H140">
        <v>8</v>
      </c>
      <c r="I140">
        <v>1139</v>
      </c>
      <c r="J140">
        <v>5139</v>
      </c>
      <c r="K140">
        <v>114848</v>
      </c>
      <c r="L140" t="s">
        <v>20</v>
      </c>
      <c r="M140">
        <v>14</v>
      </c>
      <c r="N140">
        <v>4</v>
      </c>
      <c r="O140" t="s">
        <v>31</v>
      </c>
    </row>
    <row r="141" spans="1:15" x14ac:dyDescent="0.3">
      <c r="A141">
        <v>140</v>
      </c>
      <c r="B141" t="s">
        <v>175</v>
      </c>
      <c r="C141">
        <v>47</v>
      </c>
      <c r="D141" t="s">
        <v>23</v>
      </c>
      <c r="E141" t="s">
        <v>24</v>
      </c>
      <c r="F141" t="s">
        <v>33</v>
      </c>
      <c r="G141" t="s">
        <v>29</v>
      </c>
      <c r="H141">
        <v>7</v>
      </c>
      <c r="I141">
        <v>1140</v>
      </c>
      <c r="J141">
        <v>5140</v>
      </c>
      <c r="K141">
        <v>22839</v>
      </c>
      <c r="L141" t="s">
        <v>38</v>
      </c>
      <c r="M141">
        <v>60</v>
      </c>
      <c r="N141">
        <v>1</v>
      </c>
      <c r="O141" t="s">
        <v>21</v>
      </c>
    </row>
    <row r="142" spans="1:15" x14ac:dyDescent="0.3">
      <c r="A142">
        <v>141</v>
      </c>
      <c r="B142" t="s">
        <v>176</v>
      </c>
      <c r="C142">
        <v>21</v>
      </c>
      <c r="D142" t="s">
        <v>16</v>
      </c>
      <c r="E142" t="s">
        <v>43</v>
      </c>
      <c r="F142" t="s">
        <v>33</v>
      </c>
      <c r="G142" t="s">
        <v>29</v>
      </c>
      <c r="H142">
        <v>0</v>
      </c>
      <c r="I142">
        <v>1141</v>
      </c>
      <c r="J142">
        <v>5141</v>
      </c>
      <c r="K142">
        <v>88920</v>
      </c>
      <c r="L142" t="s">
        <v>30</v>
      </c>
      <c r="M142">
        <v>77</v>
      </c>
      <c r="N142">
        <v>3</v>
      </c>
      <c r="O142" t="s">
        <v>31</v>
      </c>
    </row>
    <row r="143" spans="1:15" x14ac:dyDescent="0.3">
      <c r="A143">
        <v>142</v>
      </c>
      <c r="B143" t="s">
        <v>177</v>
      </c>
      <c r="C143">
        <v>25</v>
      </c>
      <c r="D143" t="s">
        <v>16</v>
      </c>
      <c r="E143" t="s">
        <v>43</v>
      </c>
      <c r="F143" t="s">
        <v>25</v>
      </c>
      <c r="G143" t="s">
        <v>26</v>
      </c>
      <c r="H143">
        <v>5</v>
      </c>
      <c r="I143">
        <v>1142</v>
      </c>
      <c r="J143">
        <v>5142</v>
      </c>
      <c r="K143">
        <v>63619</v>
      </c>
      <c r="L143" t="s">
        <v>30</v>
      </c>
      <c r="M143">
        <v>45</v>
      </c>
      <c r="N143">
        <v>2</v>
      </c>
      <c r="O143" t="s">
        <v>31</v>
      </c>
    </row>
    <row r="144" spans="1:15" x14ac:dyDescent="0.3">
      <c r="A144">
        <v>143</v>
      </c>
      <c r="B144" t="s">
        <v>178</v>
      </c>
      <c r="C144">
        <v>47</v>
      </c>
      <c r="D144" t="s">
        <v>16</v>
      </c>
      <c r="E144" t="s">
        <v>17</v>
      </c>
      <c r="F144" t="s">
        <v>25</v>
      </c>
      <c r="G144" t="s">
        <v>26</v>
      </c>
      <c r="H144">
        <v>8</v>
      </c>
      <c r="I144">
        <v>1143</v>
      </c>
      <c r="J144">
        <v>5143</v>
      </c>
      <c r="K144">
        <v>62821</v>
      </c>
      <c r="L144" t="s">
        <v>27</v>
      </c>
      <c r="M144">
        <v>96</v>
      </c>
      <c r="N144">
        <v>4</v>
      </c>
      <c r="O144" t="s">
        <v>21</v>
      </c>
    </row>
    <row r="145" spans="1:15" x14ac:dyDescent="0.3">
      <c r="A145">
        <v>144</v>
      </c>
      <c r="B145" t="s">
        <v>179</v>
      </c>
      <c r="C145">
        <v>47</v>
      </c>
      <c r="D145" t="s">
        <v>16</v>
      </c>
      <c r="E145" t="s">
        <v>17</v>
      </c>
      <c r="F145" t="s">
        <v>25</v>
      </c>
      <c r="G145" t="s">
        <v>29</v>
      </c>
      <c r="H145">
        <v>6</v>
      </c>
      <c r="I145">
        <v>1144</v>
      </c>
      <c r="J145">
        <v>5144</v>
      </c>
      <c r="K145">
        <v>33493</v>
      </c>
      <c r="L145" t="s">
        <v>38</v>
      </c>
      <c r="M145">
        <v>34</v>
      </c>
      <c r="N145">
        <v>1</v>
      </c>
      <c r="O145" t="s">
        <v>36</v>
      </c>
    </row>
    <row r="146" spans="1:15" x14ac:dyDescent="0.3">
      <c r="A146">
        <v>145</v>
      </c>
      <c r="B146" t="s">
        <v>180</v>
      </c>
      <c r="C146">
        <v>39</v>
      </c>
      <c r="D146" t="s">
        <v>23</v>
      </c>
      <c r="E146" t="s">
        <v>17</v>
      </c>
      <c r="F146" t="s">
        <v>18</v>
      </c>
      <c r="G146" t="s">
        <v>19</v>
      </c>
      <c r="H146">
        <v>3</v>
      </c>
      <c r="I146">
        <v>1145</v>
      </c>
      <c r="J146">
        <v>5145</v>
      </c>
      <c r="K146">
        <v>37069</v>
      </c>
      <c r="L146" t="s">
        <v>27</v>
      </c>
      <c r="M146">
        <v>45</v>
      </c>
      <c r="N146">
        <v>2</v>
      </c>
      <c r="O146" t="s">
        <v>21</v>
      </c>
    </row>
    <row r="147" spans="1:15" x14ac:dyDescent="0.3">
      <c r="A147">
        <v>146</v>
      </c>
      <c r="B147" t="s">
        <v>181</v>
      </c>
      <c r="C147">
        <v>49</v>
      </c>
      <c r="D147" t="s">
        <v>23</v>
      </c>
      <c r="E147" t="s">
        <v>45</v>
      </c>
      <c r="F147" t="s">
        <v>25</v>
      </c>
      <c r="G147" t="s">
        <v>26</v>
      </c>
      <c r="H147">
        <v>12</v>
      </c>
      <c r="I147">
        <v>1146</v>
      </c>
      <c r="J147">
        <v>5146</v>
      </c>
      <c r="K147">
        <v>27531</v>
      </c>
      <c r="L147" t="s">
        <v>38</v>
      </c>
      <c r="M147">
        <v>61</v>
      </c>
      <c r="N147">
        <v>1</v>
      </c>
      <c r="O147" t="s">
        <v>40</v>
      </c>
    </row>
    <row r="148" spans="1:15" x14ac:dyDescent="0.3">
      <c r="A148">
        <v>147</v>
      </c>
      <c r="B148" t="s">
        <v>182</v>
      </c>
      <c r="C148">
        <v>30</v>
      </c>
      <c r="D148" t="s">
        <v>16</v>
      </c>
      <c r="E148" t="s">
        <v>24</v>
      </c>
      <c r="F148" t="s">
        <v>25</v>
      </c>
      <c r="G148" t="s">
        <v>26</v>
      </c>
      <c r="H148">
        <v>16</v>
      </c>
      <c r="I148">
        <v>1147</v>
      </c>
      <c r="J148">
        <v>5147</v>
      </c>
      <c r="K148">
        <v>57051</v>
      </c>
      <c r="L148" t="s">
        <v>30</v>
      </c>
      <c r="M148">
        <v>83</v>
      </c>
      <c r="N148">
        <v>2</v>
      </c>
      <c r="O148" t="s">
        <v>21</v>
      </c>
    </row>
    <row r="149" spans="1:15" x14ac:dyDescent="0.3">
      <c r="A149">
        <v>148</v>
      </c>
      <c r="B149" t="s">
        <v>183</v>
      </c>
      <c r="C149">
        <v>47</v>
      </c>
      <c r="D149" t="s">
        <v>23</v>
      </c>
      <c r="E149" t="s">
        <v>24</v>
      </c>
      <c r="F149" t="s">
        <v>25</v>
      </c>
      <c r="G149" t="s">
        <v>26</v>
      </c>
      <c r="H149">
        <v>1</v>
      </c>
      <c r="I149">
        <v>1148</v>
      </c>
      <c r="J149">
        <v>5148</v>
      </c>
      <c r="K149">
        <v>27736</v>
      </c>
      <c r="L149" t="s">
        <v>20</v>
      </c>
      <c r="M149">
        <v>16</v>
      </c>
      <c r="N149">
        <v>2</v>
      </c>
      <c r="O149" t="s">
        <v>40</v>
      </c>
    </row>
    <row r="150" spans="1:15" x14ac:dyDescent="0.3">
      <c r="A150">
        <v>149</v>
      </c>
      <c r="B150" t="s">
        <v>184</v>
      </c>
      <c r="C150">
        <v>44</v>
      </c>
      <c r="D150" t="s">
        <v>16</v>
      </c>
      <c r="E150" t="s">
        <v>17</v>
      </c>
      <c r="F150" t="s">
        <v>25</v>
      </c>
      <c r="G150" t="s">
        <v>29</v>
      </c>
      <c r="H150">
        <v>4</v>
      </c>
      <c r="I150">
        <v>1149</v>
      </c>
      <c r="J150">
        <v>5149</v>
      </c>
      <c r="K150">
        <v>27710</v>
      </c>
      <c r="L150" t="s">
        <v>20</v>
      </c>
      <c r="M150">
        <v>66</v>
      </c>
      <c r="N150">
        <v>1</v>
      </c>
      <c r="O150" t="s">
        <v>36</v>
      </c>
    </row>
    <row r="151" spans="1:15" x14ac:dyDescent="0.3">
      <c r="A151">
        <v>150</v>
      </c>
      <c r="B151" t="s">
        <v>185</v>
      </c>
      <c r="C151">
        <v>58</v>
      </c>
      <c r="D151" t="s">
        <v>16</v>
      </c>
      <c r="E151" t="s">
        <v>24</v>
      </c>
      <c r="F151" t="s">
        <v>46</v>
      </c>
      <c r="G151" t="s">
        <v>29</v>
      </c>
      <c r="H151">
        <v>11</v>
      </c>
      <c r="I151">
        <v>1150</v>
      </c>
      <c r="J151">
        <v>5150</v>
      </c>
      <c r="K151">
        <v>87155</v>
      </c>
      <c r="L151" t="s">
        <v>20</v>
      </c>
      <c r="M151">
        <v>40</v>
      </c>
      <c r="N151">
        <v>4</v>
      </c>
      <c r="O151" t="s">
        <v>21</v>
      </c>
    </row>
    <row r="152" spans="1:15" x14ac:dyDescent="0.3">
      <c r="A152">
        <v>151</v>
      </c>
      <c r="B152" t="s">
        <v>186</v>
      </c>
      <c r="C152">
        <v>52</v>
      </c>
      <c r="D152" t="s">
        <v>16</v>
      </c>
      <c r="E152" t="s">
        <v>17</v>
      </c>
      <c r="F152" t="s">
        <v>18</v>
      </c>
      <c r="G152" t="s">
        <v>29</v>
      </c>
      <c r="H152">
        <v>7</v>
      </c>
      <c r="I152">
        <v>1151</v>
      </c>
      <c r="J152">
        <v>5151</v>
      </c>
      <c r="K152">
        <v>33975</v>
      </c>
      <c r="L152" t="s">
        <v>20</v>
      </c>
      <c r="M152">
        <v>17</v>
      </c>
      <c r="N152">
        <v>4</v>
      </c>
      <c r="O152" t="s">
        <v>21</v>
      </c>
    </row>
    <row r="153" spans="1:15" x14ac:dyDescent="0.3">
      <c r="A153">
        <v>152</v>
      </c>
      <c r="B153" t="s">
        <v>187</v>
      </c>
      <c r="C153">
        <v>20</v>
      </c>
      <c r="D153" t="s">
        <v>23</v>
      </c>
      <c r="E153" t="s">
        <v>45</v>
      </c>
      <c r="F153" t="s">
        <v>33</v>
      </c>
      <c r="G153" t="s">
        <v>29</v>
      </c>
      <c r="H153">
        <v>5</v>
      </c>
      <c r="I153">
        <v>1152</v>
      </c>
      <c r="J153">
        <v>5152</v>
      </c>
      <c r="K153">
        <v>82424</v>
      </c>
      <c r="L153" t="s">
        <v>20</v>
      </c>
      <c r="M153">
        <v>34</v>
      </c>
      <c r="N153">
        <v>3</v>
      </c>
      <c r="O153" t="s">
        <v>36</v>
      </c>
    </row>
    <row r="154" spans="1:15" x14ac:dyDescent="0.3">
      <c r="A154">
        <v>153</v>
      </c>
      <c r="B154" t="s">
        <v>188</v>
      </c>
      <c r="C154">
        <v>46</v>
      </c>
      <c r="D154" t="s">
        <v>23</v>
      </c>
      <c r="E154" t="s">
        <v>45</v>
      </c>
      <c r="F154" t="s">
        <v>25</v>
      </c>
      <c r="G154" t="s">
        <v>19</v>
      </c>
      <c r="H154">
        <v>7</v>
      </c>
      <c r="I154">
        <v>1153</v>
      </c>
      <c r="J154">
        <v>5153</v>
      </c>
      <c r="K154">
        <v>65603</v>
      </c>
      <c r="L154" t="s">
        <v>27</v>
      </c>
      <c r="M154">
        <v>16</v>
      </c>
      <c r="N154">
        <v>2</v>
      </c>
      <c r="O154" t="s">
        <v>40</v>
      </c>
    </row>
    <row r="155" spans="1:15" x14ac:dyDescent="0.3">
      <c r="A155">
        <v>154</v>
      </c>
      <c r="B155" t="s">
        <v>189</v>
      </c>
      <c r="C155">
        <v>32</v>
      </c>
      <c r="D155" t="s">
        <v>23</v>
      </c>
      <c r="E155" t="s">
        <v>43</v>
      </c>
      <c r="F155" t="s">
        <v>46</v>
      </c>
      <c r="G155" t="s">
        <v>19</v>
      </c>
      <c r="H155">
        <v>17</v>
      </c>
      <c r="I155">
        <v>1154</v>
      </c>
      <c r="J155">
        <v>5154</v>
      </c>
      <c r="K155">
        <v>43252</v>
      </c>
      <c r="L155" t="s">
        <v>38</v>
      </c>
      <c r="M155">
        <v>60</v>
      </c>
      <c r="N155">
        <v>3</v>
      </c>
      <c r="O155" t="s">
        <v>21</v>
      </c>
    </row>
    <row r="156" spans="1:15" x14ac:dyDescent="0.3">
      <c r="A156">
        <v>155</v>
      </c>
      <c r="B156" t="s">
        <v>190</v>
      </c>
      <c r="C156">
        <v>22</v>
      </c>
      <c r="D156" t="s">
        <v>23</v>
      </c>
      <c r="E156" t="s">
        <v>45</v>
      </c>
      <c r="F156" t="s">
        <v>46</v>
      </c>
      <c r="G156" t="s">
        <v>29</v>
      </c>
      <c r="H156">
        <v>2</v>
      </c>
      <c r="I156">
        <v>1155</v>
      </c>
      <c r="J156">
        <v>5155</v>
      </c>
      <c r="K156">
        <v>100797</v>
      </c>
      <c r="L156" t="s">
        <v>30</v>
      </c>
      <c r="M156">
        <v>66</v>
      </c>
      <c r="N156">
        <v>3</v>
      </c>
      <c r="O156" t="s">
        <v>40</v>
      </c>
    </row>
    <row r="157" spans="1:15" x14ac:dyDescent="0.3">
      <c r="A157">
        <v>156</v>
      </c>
      <c r="B157" t="s">
        <v>191</v>
      </c>
      <c r="C157">
        <v>58</v>
      </c>
      <c r="D157" t="s">
        <v>23</v>
      </c>
      <c r="E157" t="s">
        <v>17</v>
      </c>
      <c r="F157" t="s">
        <v>46</v>
      </c>
      <c r="G157" t="s">
        <v>19</v>
      </c>
      <c r="H157">
        <v>11</v>
      </c>
      <c r="I157">
        <v>1156</v>
      </c>
      <c r="J157">
        <v>5156</v>
      </c>
      <c r="K157">
        <v>21431</v>
      </c>
      <c r="L157" t="s">
        <v>27</v>
      </c>
      <c r="M157">
        <v>66</v>
      </c>
      <c r="N157">
        <v>1</v>
      </c>
      <c r="O157" t="s">
        <v>21</v>
      </c>
    </row>
    <row r="158" spans="1:15" x14ac:dyDescent="0.3">
      <c r="A158">
        <v>157</v>
      </c>
      <c r="B158" t="s">
        <v>192</v>
      </c>
      <c r="C158">
        <v>25</v>
      </c>
      <c r="D158" t="s">
        <v>23</v>
      </c>
      <c r="E158" t="s">
        <v>45</v>
      </c>
      <c r="F158" t="s">
        <v>33</v>
      </c>
      <c r="G158" t="s">
        <v>26</v>
      </c>
      <c r="H158">
        <v>2</v>
      </c>
      <c r="I158">
        <v>1157</v>
      </c>
      <c r="J158">
        <v>5157</v>
      </c>
      <c r="K158">
        <v>94603</v>
      </c>
      <c r="L158" t="s">
        <v>38</v>
      </c>
      <c r="M158">
        <v>90</v>
      </c>
      <c r="N158">
        <v>1</v>
      </c>
      <c r="O158" t="s">
        <v>31</v>
      </c>
    </row>
    <row r="159" spans="1:15" x14ac:dyDescent="0.3">
      <c r="A159">
        <v>158</v>
      </c>
      <c r="B159" t="s">
        <v>193</v>
      </c>
      <c r="C159">
        <v>27</v>
      </c>
      <c r="D159" t="s">
        <v>23</v>
      </c>
      <c r="E159" t="s">
        <v>43</v>
      </c>
      <c r="F159" t="s">
        <v>25</v>
      </c>
      <c r="G159" t="s">
        <v>26</v>
      </c>
      <c r="H159">
        <v>5</v>
      </c>
      <c r="I159">
        <v>1158</v>
      </c>
      <c r="J159">
        <v>5158</v>
      </c>
      <c r="K159">
        <v>57481</v>
      </c>
      <c r="L159" t="s">
        <v>20</v>
      </c>
      <c r="M159">
        <v>13</v>
      </c>
      <c r="N159">
        <v>1</v>
      </c>
      <c r="O159" t="s">
        <v>21</v>
      </c>
    </row>
    <row r="160" spans="1:15" x14ac:dyDescent="0.3">
      <c r="A160">
        <v>159</v>
      </c>
      <c r="B160" t="s">
        <v>194</v>
      </c>
      <c r="C160">
        <v>46</v>
      </c>
      <c r="D160" t="s">
        <v>23</v>
      </c>
      <c r="E160" t="s">
        <v>24</v>
      </c>
      <c r="F160" t="s">
        <v>18</v>
      </c>
      <c r="G160" t="s">
        <v>26</v>
      </c>
      <c r="H160">
        <v>1</v>
      </c>
      <c r="I160">
        <v>1159</v>
      </c>
      <c r="J160">
        <v>5159</v>
      </c>
      <c r="K160">
        <v>112573</v>
      </c>
      <c r="L160" t="s">
        <v>38</v>
      </c>
      <c r="M160">
        <v>56</v>
      </c>
      <c r="N160">
        <v>2</v>
      </c>
      <c r="O160" t="s">
        <v>36</v>
      </c>
    </row>
    <row r="161" spans="1:15" x14ac:dyDescent="0.3">
      <c r="A161">
        <v>160</v>
      </c>
      <c r="B161" t="s">
        <v>195</v>
      </c>
      <c r="C161">
        <v>28</v>
      </c>
      <c r="D161" t="s">
        <v>23</v>
      </c>
      <c r="E161" t="s">
        <v>17</v>
      </c>
      <c r="F161" t="s">
        <v>18</v>
      </c>
      <c r="G161" t="s">
        <v>29</v>
      </c>
      <c r="H161">
        <v>11</v>
      </c>
      <c r="I161">
        <v>1160</v>
      </c>
      <c r="J161">
        <v>5160</v>
      </c>
      <c r="K161">
        <v>29557</v>
      </c>
      <c r="L161" t="s">
        <v>38</v>
      </c>
      <c r="M161">
        <v>31</v>
      </c>
      <c r="N161">
        <v>1</v>
      </c>
      <c r="O161" t="s">
        <v>36</v>
      </c>
    </row>
    <row r="162" spans="1:15" x14ac:dyDescent="0.3">
      <c r="A162">
        <v>161</v>
      </c>
      <c r="B162" t="s">
        <v>196</v>
      </c>
      <c r="C162">
        <v>56</v>
      </c>
      <c r="D162" t="s">
        <v>16</v>
      </c>
      <c r="E162" t="s">
        <v>24</v>
      </c>
      <c r="F162" t="s">
        <v>46</v>
      </c>
      <c r="G162" t="s">
        <v>26</v>
      </c>
      <c r="H162">
        <v>1</v>
      </c>
      <c r="I162">
        <v>1161</v>
      </c>
      <c r="J162">
        <v>5161</v>
      </c>
      <c r="K162">
        <v>94971</v>
      </c>
      <c r="L162" t="s">
        <v>20</v>
      </c>
      <c r="M162">
        <v>34</v>
      </c>
      <c r="N162">
        <v>1</v>
      </c>
      <c r="O162" t="s">
        <v>40</v>
      </c>
    </row>
    <row r="163" spans="1:15" x14ac:dyDescent="0.3">
      <c r="A163">
        <v>162</v>
      </c>
      <c r="B163" t="s">
        <v>197</v>
      </c>
      <c r="C163">
        <v>52</v>
      </c>
      <c r="D163" t="s">
        <v>23</v>
      </c>
      <c r="E163" t="s">
        <v>43</v>
      </c>
      <c r="F163" t="s">
        <v>33</v>
      </c>
      <c r="G163" t="s">
        <v>19</v>
      </c>
      <c r="H163">
        <v>5</v>
      </c>
      <c r="I163">
        <v>1162</v>
      </c>
      <c r="J163">
        <v>5162</v>
      </c>
      <c r="K163">
        <v>20162</v>
      </c>
      <c r="L163" t="s">
        <v>20</v>
      </c>
      <c r="M163">
        <v>39</v>
      </c>
      <c r="N163">
        <v>2</v>
      </c>
      <c r="O163" t="s">
        <v>21</v>
      </c>
    </row>
    <row r="164" spans="1:15" x14ac:dyDescent="0.3">
      <c r="A164">
        <v>163</v>
      </c>
      <c r="B164" t="s">
        <v>198</v>
      </c>
      <c r="C164">
        <v>43</v>
      </c>
      <c r="D164" t="s">
        <v>23</v>
      </c>
      <c r="E164" t="s">
        <v>43</v>
      </c>
      <c r="F164" t="s">
        <v>33</v>
      </c>
      <c r="G164" t="s">
        <v>29</v>
      </c>
      <c r="H164">
        <v>16</v>
      </c>
      <c r="I164">
        <v>1163</v>
      </c>
      <c r="J164">
        <v>5163</v>
      </c>
      <c r="K164">
        <v>54742</v>
      </c>
      <c r="L164" t="s">
        <v>20</v>
      </c>
      <c r="M164">
        <v>67</v>
      </c>
      <c r="N164">
        <v>2</v>
      </c>
      <c r="O164" t="s">
        <v>40</v>
      </c>
    </row>
    <row r="165" spans="1:15" x14ac:dyDescent="0.3">
      <c r="A165">
        <v>164</v>
      </c>
      <c r="B165" t="s">
        <v>199</v>
      </c>
      <c r="C165">
        <v>34</v>
      </c>
      <c r="D165" t="s">
        <v>23</v>
      </c>
      <c r="E165" t="s">
        <v>43</v>
      </c>
      <c r="F165" t="s">
        <v>33</v>
      </c>
      <c r="G165" t="s">
        <v>19</v>
      </c>
      <c r="H165">
        <v>2</v>
      </c>
      <c r="I165">
        <v>1164</v>
      </c>
      <c r="J165">
        <v>5164</v>
      </c>
      <c r="K165">
        <v>39675</v>
      </c>
      <c r="L165" t="s">
        <v>30</v>
      </c>
      <c r="M165">
        <v>8</v>
      </c>
      <c r="N165">
        <v>4</v>
      </c>
      <c r="O165" t="s">
        <v>40</v>
      </c>
    </row>
    <row r="166" spans="1:15" x14ac:dyDescent="0.3">
      <c r="A166">
        <v>165</v>
      </c>
      <c r="B166" t="s">
        <v>200</v>
      </c>
      <c r="C166">
        <v>51</v>
      </c>
      <c r="D166" t="s">
        <v>23</v>
      </c>
      <c r="E166" t="s">
        <v>24</v>
      </c>
      <c r="F166" t="s">
        <v>18</v>
      </c>
      <c r="G166" t="s">
        <v>26</v>
      </c>
      <c r="H166">
        <v>1</v>
      </c>
      <c r="I166">
        <v>1165</v>
      </c>
      <c r="J166">
        <v>5165</v>
      </c>
      <c r="K166">
        <v>93997</v>
      </c>
      <c r="L166" t="s">
        <v>20</v>
      </c>
      <c r="M166">
        <v>87</v>
      </c>
      <c r="N166">
        <v>1</v>
      </c>
      <c r="O166" t="s">
        <v>31</v>
      </c>
    </row>
    <row r="167" spans="1:15" x14ac:dyDescent="0.3">
      <c r="A167">
        <v>166</v>
      </c>
      <c r="B167" t="s">
        <v>201</v>
      </c>
      <c r="C167">
        <v>51</v>
      </c>
      <c r="D167" t="s">
        <v>23</v>
      </c>
      <c r="E167" t="s">
        <v>24</v>
      </c>
      <c r="F167" t="s">
        <v>46</v>
      </c>
      <c r="G167" t="s">
        <v>26</v>
      </c>
      <c r="H167">
        <v>19</v>
      </c>
      <c r="I167">
        <v>1166</v>
      </c>
      <c r="J167">
        <v>5166</v>
      </c>
      <c r="K167">
        <v>37015</v>
      </c>
      <c r="L167" t="s">
        <v>30</v>
      </c>
      <c r="M167">
        <v>78</v>
      </c>
      <c r="N167">
        <v>1</v>
      </c>
      <c r="O167" t="s">
        <v>31</v>
      </c>
    </row>
    <row r="168" spans="1:15" x14ac:dyDescent="0.3">
      <c r="A168">
        <v>167</v>
      </c>
      <c r="B168" t="s">
        <v>202</v>
      </c>
      <c r="C168">
        <v>43</v>
      </c>
      <c r="D168" t="s">
        <v>23</v>
      </c>
      <c r="E168" t="s">
        <v>24</v>
      </c>
      <c r="F168" t="s">
        <v>25</v>
      </c>
      <c r="G168" t="s">
        <v>26</v>
      </c>
      <c r="H168">
        <v>7</v>
      </c>
      <c r="I168">
        <v>1167</v>
      </c>
      <c r="J168">
        <v>5167</v>
      </c>
      <c r="K168">
        <v>70057</v>
      </c>
      <c r="L168" t="s">
        <v>20</v>
      </c>
      <c r="M168">
        <v>55</v>
      </c>
      <c r="N168">
        <v>1</v>
      </c>
      <c r="O168" t="s">
        <v>36</v>
      </c>
    </row>
    <row r="169" spans="1:15" x14ac:dyDescent="0.3">
      <c r="A169">
        <v>168</v>
      </c>
      <c r="B169" t="s">
        <v>203</v>
      </c>
      <c r="C169">
        <v>31</v>
      </c>
      <c r="D169" t="s">
        <v>23</v>
      </c>
      <c r="E169" t="s">
        <v>24</v>
      </c>
      <c r="F169" t="s">
        <v>18</v>
      </c>
      <c r="G169" t="s">
        <v>29</v>
      </c>
      <c r="H169">
        <v>11</v>
      </c>
      <c r="I169">
        <v>1168</v>
      </c>
      <c r="J169">
        <v>5168</v>
      </c>
      <c r="K169">
        <v>52591</v>
      </c>
      <c r="L169" t="s">
        <v>30</v>
      </c>
      <c r="M169">
        <v>27</v>
      </c>
      <c r="N169">
        <v>4</v>
      </c>
      <c r="O169" t="s">
        <v>40</v>
      </c>
    </row>
    <row r="170" spans="1:15" x14ac:dyDescent="0.3">
      <c r="A170">
        <v>169</v>
      </c>
      <c r="B170" t="s">
        <v>204</v>
      </c>
      <c r="C170">
        <v>58</v>
      </c>
      <c r="D170" t="s">
        <v>23</v>
      </c>
      <c r="E170" t="s">
        <v>43</v>
      </c>
      <c r="F170" t="s">
        <v>46</v>
      </c>
      <c r="G170" t="s">
        <v>19</v>
      </c>
      <c r="H170">
        <v>3</v>
      </c>
      <c r="I170">
        <v>1169</v>
      </c>
      <c r="J170">
        <v>5169</v>
      </c>
      <c r="K170">
        <v>113583</v>
      </c>
      <c r="L170" t="s">
        <v>38</v>
      </c>
      <c r="M170">
        <v>93</v>
      </c>
      <c r="N170">
        <v>1</v>
      </c>
      <c r="O170" t="s">
        <v>36</v>
      </c>
    </row>
    <row r="171" spans="1:15" x14ac:dyDescent="0.3">
      <c r="A171">
        <v>170</v>
      </c>
      <c r="B171" t="s">
        <v>205</v>
      </c>
      <c r="C171">
        <v>21</v>
      </c>
      <c r="D171" t="s">
        <v>23</v>
      </c>
      <c r="E171" t="s">
        <v>43</v>
      </c>
      <c r="F171" t="s">
        <v>46</v>
      </c>
      <c r="G171" t="s">
        <v>29</v>
      </c>
      <c r="H171">
        <v>4</v>
      </c>
      <c r="I171">
        <v>1170</v>
      </c>
      <c r="J171">
        <v>5170</v>
      </c>
      <c r="K171">
        <v>29833</v>
      </c>
      <c r="L171" t="s">
        <v>27</v>
      </c>
      <c r="M171">
        <v>53</v>
      </c>
      <c r="N171">
        <v>4</v>
      </c>
      <c r="O171" t="s">
        <v>21</v>
      </c>
    </row>
    <row r="172" spans="1:15" x14ac:dyDescent="0.3">
      <c r="A172">
        <v>171</v>
      </c>
      <c r="B172" t="s">
        <v>206</v>
      </c>
      <c r="C172">
        <v>22</v>
      </c>
      <c r="D172" t="s">
        <v>23</v>
      </c>
      <c r="E172" t="s">
        <v>17</v>
      </c>
      <c r="F172" t="s">
        <v>25</v>
      </c>
      <c r="G172" t="s">
        <v>29</v>
      </c>
      <c r="H172">
        <v>12</v>
      </c>
      <c r="I172">
        <v>1171</v>
      </c>
      <c r="J172">
        <v>5171</v>
      </c>
      <c r="K172">
        <v>27896</v>
      </c>
      <c r="L172" t="s">
        <v>38</v>
      </c>
      <c r="M172">
        <v>39</v>
      </c>
      <c r="N172">
        <v>3</v>
      </c>
      <c r="O172" t="s">
        <v>40</v>
      </c>
    </row>
    <row r="173" spans="1:15" x14ac:dyDescent="0.3">
      <c r="A173">
        <v>172</v>
      </c>
      <c r="B173" t="s">
        <v>207</v>
      </c>
      <c r="C173">
        <v>56</v>
      </c>
      <c r="D173" t="s">
        <v>23</v>
      </c>
      <c r="E173" t="s">
        <v>17</v>
      </c>
      <c r="F173" t="s">
        <v>25</v>
      </c>
      <c r="G173" t="s">
        <v>26</v>
      </c>
      <c r="H173">
        <v>14</v>
      </c>
      <c r="I173">
        <v>1172</v>
      </c>
      <c r="J173">
        <v>5172</v>
      </c>
      <c r="K173">
        <v>52972</v>
      </c>
      <c r="L173" t="s">
        <v>38</v>
      </c>
      <c r="M173">
        <v>65</v>
      </c>
      <c r="N173">
        <v>4</v>
      </c>
      <c r="O173" t="s">
        <v>40</v>
      </c>
    </row>
    <row r="174" spans="1:15" x14ac:dyDescent="0.3">
      <c r="A174">
        <v>173</v>
      </c>
      <c r="B174" t="s">
        <v>208</v>
      </c>
      <c r="C174">
        <v>36</v>
      </c>
      <c r="D174" t="s">
        <v>16</v>
      </c>
      <c r="E174" t="s">
        <v>24</v>
      </c>
      <c r="F174" t="s">
        <v>25</v>
      </c>
      <c r="G174" t="s">
        <v>29</v>
      </c>
      <c r="H174">
        <v>15</v>
      </c>
      <c r="I174">
        <v>1173</v>
      </c>
      <c r="J174">
        <v>5173</v>
      </c>
      <c r="K174">
        <v>69733</v>
      </c>
      <c r="L174" t="s">
        <v>20</v>
      </c>
      <c r="M174">
        <v>17</v>
      </c>
      <c r="N174">
        <v>3</v>
      </c>
      <c r="O174" t="s">
        <v>21</v>
      </c>
    </row>
    <row r="175" spans="1:15" x14ac:dyDescent="0.3">
      <c r="A175">
        <v>174</v>
      </c>
      <c r="B175" t="s">
        <v>209</v>
      </c>
      <c r="C175">
        <v>21</v>
      </c>
      <c r="D175" t="s">
        <v>16</v>
      </c>
      <c r="E175" t="s">
        <v>45</v>
      </c>
      <c r="F175" t="s">
        <v>33</v>
      </c>
      <c r="G175" t="s">
        <v>29</v>
      </c>
      <c r="H175">
        <v>9</v>
      </c>
      <c r="I175">
        <v>1174</v>
      </c>
      <c r="J175">
        <v>5174</v>
      </c>
      <c r="K175">
        <v>61800</v>
      </c>
      <c r="L175" t="s">
        <v>30</v>
      </c>
      <c r="M175">
        <v>30</v>
      </c>
      <c r="N175">
        <v>1</v>
      </c>
      <c r="O175" t="s">
        <v>21</v>
      </c>
    </row>
    <row r="176" spans="1:15" x14ac:dyDescent="0.3">
      <c r="A176">
        <v>175</v>
      </c>
      <c r="B176" t="s">
        <v>210</v>
      </c>
      <c r="C176">
        <v>21</v>
      </c>
      <c r="D176" t="s">
        <v>23</v>
      </c>
      <c r="E176" t="s">
        <v>45</v>
      </c>
      <c r="F176" t="s">
        <v>25</v>
      </c>
      <c r="G176" t="s">
        <v>26</v>
      </c>
      <c r="H176">
        <v>15</v>
      </c>
      <c r="I176">
        <v>1175</v>
      </c>
      <c r="J176">
        <v>5175</v>
      </c>
      <c r="K176">
        <v>116044</v>
      </c>
      <c r="L176" t="s">
        <v>27</v>
      </c>
      <c r="M176">
        <v>53</v>
      </c>
      <c r="N176">
        <v>3</v>
      </c>
      <c r="O176" t="s">
        <v>36</v>
      </c>
    </row>
    <row r="177" spans="1:15" x14ac:dyDescent="0.3">
      <c r="A177">
        <v>176</v>
      </c>
      <c r="B177" t="s">
        <v>211</v>
      </c>
      <c r="C177">
        <v>47</v>
      </c>
      <c r="D177" t="s">
        <v>23</v>
      </c>
      <c r="E177" t="s">
        <v>43</v>
      </c>
      <c r="F177" t="s">
        <v>46</v>
      </c>
      <c r="G177" t="s">
        <v>29</v>
      </c>
      <c r="H177">
        <v>11</v>
      </c>
      <c r="I177">
        <v>1176</v>
      </c>
      <c r="J177">
        <v>5176</v>
      </c>
      <c r="K177">
        <v>25347</v>
      </c>
      <c r="L177" t="s">
        <v>20</v>
      </c>
      <c r="M177">
        <v>13</v>
      </c>
      <c r="N177">
        <v>4</v>
      </c>
      <c r="O177" t="s">
        <v>36</v>
      </c>
    </row>
    <row r="178" spans="1:15" x14ac:dyDescent="0.3">
      <c r="A178">
        <v>177</v>
      </c>
      <c r="B178" t="s">
        <v>212</v>
      </c>
      <c r="C178">
        <v>42</v>
      </c>
      <c r="D178" t="s">
        <v>16</v>
      </c>
      <c r="E178" t="s">
        <v>43</v>
      </c>
      <c r="F178" t="s">
        <v>25</v>
      </c>
      <c r="G178" t="s">
        <v>26</v>
      </c>
      <c r="H178">
        <v>16</v>
      </c>
      <c r="I178">
        <v>1177</v>
      </c>
      <c r="J178">
        <v>5177</v>
      </c>
      <c r="K178">
        <v>79063</v>
      </c>
      <c r="L178" t="s">
        <v>20</v>
      </c>
      <c r="M178">
        <v>21</v>
      </c>
      <c r="N178">
        <v>2</v>
      </c>
      <c r="O178" t="s">
        <v>21</v>
      </c>
    </row>
    <row r="179" spans="1:15" x14ac:dyDescent="0.3">
      <c r="A179">
        <v>178</v>
      </c>
      <c r="B179" t="s">
        <v>213</v>
      </c>
      <c r="C179">
        <v>56</v>
      </c>
      <c r="D179" t="s">
        <v>23</v>
      </c>
      <c r="E179" t="s">
        <v>43</v>
      </c>
      <c r="F179" t="s">
        <v>46</v>
      </c>
      <c r="G179" t="s">
        <v>26</v>
      </c>
      <c r="H179">
        <v>15</v>
      </c>
      <c r="I179">
        <v>1178</v>
      </c>
      <c r="J179">
        <v>5178</v>
      </c>
      <c r="K179">
        <v>115850</v>
      </c>
      <c r="L179" t="s">
        <v>20</v>
      </c>
      <c r="M179">
        <v>19</v>
      </c>
      <c r="N179">
        <v>3</v>
      </c>
      <c r="O179" t="s">
        <v>36</v>
      </c>
    </row>
    <row r="180" spans="1:15" x14ac:dyDescent="0.3">
      <c r="A180">
        <v>179</v>
      </c>
      <c r="B180" t="s">
        <v>214</v>
      </c>
      <c r="C180">
        <v>51</v>
      </c>
      <c r="D180" t="s">
        <v>16</v>
      </c>
      <c r="E180" t="s">
        <v>17</v>
      </c>
      <c r="F180" t="s">
        <v>18</v>
      </c>
      <c r="G180" t="s">
        <v>26</v>
      </c>
      <c r="H180">
        <v>11</v>
      </c>
      <c r="I180">
        <v>1179</v>
      </c>
      <c r="J180">
        <v>5179</v>
      </c>
      <c r="K180">
        <v>22643</v>
      </c>
      <c r="L180" t="s">
        <v>38</v>
      </c>
      <c r="M180">
        <v>53</v>
      </c>
      <c r="N180">
        <v>3</v>
      </c>
      <c r="O180" t="s">
        <v>21</v>
      </c>
    </row>
    <row r="181" spans="1:15" x14ac:dyDescent="0.3">
      <c r="A181">
        <v>180</v>
      </c>
      <c r="B181" t="s">
        <v>215</v>
      </c>
      <c r="C181">
        <v>52</v>
      </c>
      <c r="D181" t="s">
        <v>16</v>
      </c>
      <c r="E181" t="s">
        <v>17</v>
      </c>
      <c r="F181" t="s">
        <v>33</v>
      </c>
      <c r="G181" t="s">
        <v>26</v>
      </c>
      <c r="H181">
        <v>7</v>
      </c>
      <c r="I181">
        <v>1180</v>
      </c>
      <c r="J181">
        <v>5180</v>
      </c>
      <c r="K181">
        <v>60785</v>
      </c>
      <c r="L181" t="s">
        <v>30</v>
      </c>
      <c r="M181">
        <v>19</v>
      </c>
      <c r="N181">
        <v>1</v>
      </c>
      <c r="O181" t="s">
        <v>40</v>
      </c>
    </row>
    <row r="182" spans="1:15" x14ac:dyDescent="0.3">
      <c r="A182">
        <v>181</v>
      </c>
      <c r="B182" t="s">
        <v>216</v>
      </c>
      <c r="C182">
        <v>20</v>
      </c>
      <c r="D182" t="s">
        <v>16</v>
      </c>
      <c r="E182" t="s">
        <v>43</v>
      </c>
      <c r="F182" t="s">
        <v>18</v>
      </c>
      <c r="G182" t="s">
        <v>29</v>
      </c>
      <c r="H182">
        <v>19</v>
      </c>
      <c r="I182">
        <v>1181</v>
      </c>
      <c r="J182">
        <v>5181</v>
      </c>
      <c r="K182">
        <v>38681</v>
      </c>
      <c r="L182" t="s">
        <v>30</v>
      </c>
      <c r="M182">
        <v>57</v>
      </c>
      <c r="N182">
        <v>4</v>
      </c>
      <c r="O182" t="s">
        <v>40</v>
      </c>
    </row>
    <row r="183" spans="1:15" x14ac:dyDescent="0.3">
      <c r="A183">
        <v>182</v>
      </c>
      <c r="B183" t="s">
        <v>217</v>
      </c>
      <c r="C183">
        <v>38</v>
      </c>
      <c r="D183" t="s">
        <v>16</v>
      </c>
      <c r="E183" t="s">
        <v>43</v>
      </c>
      <c r="F183" t="s">
        <v>18</v>
      </c>
      <c r="G183" t="s">
        <v>26</v>
      </c>
      <c r="H183">
        <v>2</v>
      </c>
      <c r="I183">
        <v>1182</v>
      </c>
      <c r="J183">
        <v>5182</v>
      </c>
      <c r="K183">
        <v>70026</v>
      </c>
      <c r="L183" t="s">
        <v>27</v>
      </c>
      <c r="M183">
        <v>25</v>
      </c>
      <c r="N183">
        <v>3</v>
      </c>
      <c r="O183" t="s">
        <v>31</v>
      </c>
    </row>
    <row r="184" spans="1:15" x14ac:dyDescent="0.3">
      <c r="A184">
        <v>183</v>
      </c>
      <c r="B184" t="s">
        <v>218</v>
      </c>
      <c r="C184">
        <v>21</v>
      </c>
      <c r="D184" t="s">
        <v>16</v>
      </c>
      <c r="E184" t="s">
        <v>43</v>
      </c>
      <c r="F184" t="s">
        <v>46</v>
      </c>
      <c r="G184" t="s">
        <v>26</v>
      </c>
      <c r="H184">
        <v>15</v>
      </c>
      <c r="I184">
        <v>1183</v>
      </c>
      <c r="J184">
        <v>5183</v>
      </c>
      <c r="K184">
        <v>35892</v>
      </c>
      <c r="L184" t="s">
        <v>30</v>
      </c>
      <c r="M184">
        <v>86</v>
      </c>
      <c r="N184">
        <v>3</v>
      </c>
      <c r="O184" t="s">
        <v>40</v>
      </c>
    </row>
    <row r="185" spans="1:15" x14ac:dyDescent="0.3">
      <c r="A185">
        <v>184</v>
      </c>
      <c r="B185" t="s">
        <v>219</v>
      </c>
      <c r="C185">
        <v>45</v>
      </c>
      <c r="D185" t="s">
        <v>23</v>
      </c>
      <c r="E185" t="s">
        <v>45</v>
      </c>
      <c r="F185" t="s">
        <v>18</v>
      </c>
      <c r="G185" t="s">
        <v>29</v>
      </c>
      <c r="H185">
        <v>12</v>
      </c>
      <c r="I185">
        <v>1184</v>
      </c>
      <c r="J185">
        <v>5184</v>
      </c>
      <c r="K185">
        <v>67299</v>
      </c>
      <c r="L185" t="s">
        <v>30</v>
      </c>
      <c r="M185">
        <v>31</v>
      </c>
      <c r="N185">
        <v>3</v>
      </c>
      <c r="O185" t="s">
        <v>21</v>
      </c>
    </row>
    <row r="186" spans="1:15" x14ac:dyDescent="0.3">
      <c r="A186">
        <v>185</v>
      </c>
      <c r="B186" t="s">
        <v>220</v>
      </c>
      <c r="C186">
        <v>51</v>
      </c>
      <c r="D186" t="s">
        <v>16</v>
      </c>
      <c r="E186" t="s">
        <v>17</v>
      </c>
      <c r="F186" t="s">
        <v>46</v>
      </c>
      <c r="G186" t="s">
        <v>29</v>
      </c>
      <c r="H186">
        <v>18</v>
      </c>
      <c r="I186">
        <v>1185</v>
      </c>
      <c r="J186">
        <v>5185</v>
      </c>
      <c r="K186">
        <v>37073</v>
      </c>
      <c r="L186" t="s">
        <v>20</v>
      </c>
      <c r="M186">
        <v>81</v>
      </c>
      <c r="N186">
        <v>3</v>
      </c>
      <c r="O186" t="s">
        <v>36</v>
      </c>
    </row>
    <row r="187" spans="1:15" x14ac:dyDescent="0.3">
      <c r="A187">
        <v>186</v>
      </c>
      <c r="B187" t="s">
        <v>221</v>
      </c>
      <c r="C187">
        <v>25</v>
      </c>
      <c r="D187" t="s">
        <v>23</v>
      </c>
      <c r="E187" t="s">
        <v>45</v>
      </c>
      <c r="F187" t="s">
        <v>25</v>
      </c>
      <c r="G187" t="s">
        <v>19</v>
      </c>
      <c r="H187">
        <v>7</v>
      </c>
      <c r="I187">
        <v>1186</v>
      </c>
      <c r="J187">
        <v>5186</v>
      </c>
      <c r="K187">
        <v>50682</v>
      </c>
      <c r="L187" t="s">
        <v>20</v>
      </c>
      <c r="M187">
        <v>55</v>
      </c>
      <c r="N187">
        <v>2</v>
      </c>
      <c r="O187" t="s">
        <v>31</v>
      </c>
    </row>
    <row r="188" spans="1:15" x14ac:dyDescent="0.3">
      <c r="A188">
        <v>187</v>
      </c>
      <c r="B188" t="s">
        <v>222</v>
      </c>
      <c r="C188">
        <v>51</v>
      </c>
      <c r="D188" t="s">
        <v>23</v>
      </c>
      <c r="E188" t="s">
        <v>45</v>
      </c>
      <c r="F188" t="s">
        <v>25</v>
      </c>
      <c r="G188" t="s">
        <v>29</v>
      </c>
      <c r="H188">
        <v>4</v>
      </c>
      <c r="I188">
        <v>1187</v>
      </c>
      <c r="J188">
        <v>5187</v>
      </c>
      <c r="K188">
        <v>117798</v>
      </c>
      <c r="L188" t="s">
        <v>38</v>
      </c>
      <c r="M188">
        <v>23</v>
      </c>
      <c r="N188">
        <v>4</v>
      </c>
      <c r="O188" t="s">
        <v>36</v>
      </c>
    </row>
    <row r="189" spans="1:15" x14ac:dyDescent="0.3">
      <c r="A189">
        <v>188</v>
      </c>
      <c r="B189" t="s">
        <v>223</v>
      </c>
      <c r="C189">
        <v>23</v>
      </c>
      <c r="D189" t="s">
        <v>16</v>
      </c>
      <c r="E189" t="s">
        <v>43</v>
      </c>
      <c r="F189" t="s">
        <v>46</v>
      </c>
      <c r="G189" t="s">
        <v>29</v>
      </c>
      <c r="H189">
        <v>19</v>
      </c>
      <c r="I189">
        <v>1188</v>
      </c>
      <c r="J189">
        <v>5188</v>
      </c>
      <c r="K189">
        <v>116894</v>
      </c>
      <c r="L189" t="s">
        <v>20</v>
      </c>
      <c r="M189">
        <v>32</v>
      </c>
      <c r="N189">
        <v>1</v>
      </c>
      <c r="O189" t="s">
        <v>21</v>
      </c>
    </row>
    <row r="190" spans="1:15" x14ac:dyDescent="0.3">
      <c r="A190">
        <v>189</v>
      </c>
      <c r="B190" t="s">
        <v>224</v>
      </c>
      <c r="C190">
        <v>30</v>
      </c>
      <c r="D190" t="s">
        <v>16</v>
      </c>
      <c r="E190" t="s">
        <v>43</v>
      </c>
      <c r="F190" t="s">
        <v>25</v>
      </c>
      <c r="G190" t="s">
        <v>19</v>
      </c>
      <c r="H190">
        <v>7</v>
      </c>
      <c r="I190">
        <v>1189</v>
      </c>
      <c r="J190">
        <v>5189</v>
      </c>
      <c r="K190">
        <v>34289</v>
      </c>
      <c r="L190" t="s">
        <v>20</v>
      </c>
      <c r="M190">
        <v>62</v>
      </c>
      <c r="N190">
        <v>1</v>
      </c>
      <c r="O190" t="s">
        <v>40</v>
      </c>
    </row>
    <row r="191" spans="1:15" x14ac:dyDescent="0.3">
      <c r="A191">
        <v>190</v>
      </c>
      <c r="B191" t="s">
        <v>225</v>
      </c>
      <c r="C191">
        <v>36</v>
      </c>
      <c r="D191" t="s">
        <v>23</v>
      </c>
      <c r="E191" t="s">
        <v>24</v>
      </c>
      <c r="F191" t="s">
        <v>33</v>
      </c>
      <c r="G191" t="s">
        <v>29</v>
      </c>
      <c r="H191">
        <v>11</v>
      </c>
      <c r="I191">
        <v>1190</v>
      </c>
      <c r="J191">
        <v>5190</v>
      </c>
      <c r="K191">
        <v>27927</v>
      </c>
      <c r="L191" t="s">
        <v>20</v>
      </c>
      <c r="M191">
        <v>74</v>
      </c>
      <c r="N191">
        <v>2</v>
      </c>
      <c r="O191" t="s">
        <v>31</v>
      </c>
    </row>
    <row r="192" spans="1:15" x14ac:dyDescent="0.3">
      <c r="A192">
        <v>191</v>
      </c>
      <c r="B192" t="s">
        <v>226</v>
      </c>
      <c r="C192">
        <v>57</v>
      </c>
      <c r="D192" t="s">
        <v>16</v>
      </c>
      <c r="E192" t="s">
        <v>24</v>
      </c>
      <c r="F192" t="s">
        <v>18</v>
      </c>
      <c r="G192" t="s">
        <v>29</v>
      </c>
      <c r="H192">
        <v>0</v>
      </c>
      <c r="I192">
        <v>1191</v>
      </c>
      <c r="J192">
        <v>5191</v>
      </c>
      <c r="K192">
        <v>68330</v>
      </c>
      <c r="L192" t="s">
        <v>20</v>
      </c>
      <c r="M192">
        <v>10</v>
      </c>
      <c r="N192">
        <v>4</v>
      </c>
      <c r="O192" t="s">
        <v>21</v>
      </c>
    </row>
    <row r="193" spans="1:15" x14ac:dyDescent="0.3">
      <c r="A193">
        <v>192</v>
      </c>
      <c r="B193" t="s">
        <v>227</v>
      </c>
      <c r="C193">
        <v>43</v>
      </c>
      <c r="D193" t="s">
        <v>16</v>
      </c>
      <c r="E193" t="s">
        <v>45</v>
      </c>
      <c r="F193" t="s">
        <v>33</v>
      </c>
      <c r="G193" t="s">
        <v>29</v>
      </c>
      <c r="H193">
        <v>19</v>
      </c>
      <c r="I193">
        <v>1192</v>
      </c>
      <c r="J193">
        <v>5192</v>
      </c>
      <c r="K193">
        <v>86707</v>
      </c>
      <c r="L193" t="s">
        <v>38</v>
      </c>
      <c r="M193">
        <v>72</v>
      </c>
      <c r="N193">
        <v>3</v>
      </c>
      <c r="O193" t="s">
        <v>31</v>
      </c>
    </row>
    <row r="194" spans="1:15" x14ac:dyDescent="0.3">
      <c r="A194">
        <v>193</v>
      </c>
      <c r="B194" t="s">
        <v>228</v>
      </c>
      <c r="C194">
        <v>24</v>
      </c>
      <c r="D194" t="s">
        <v>23</v>
      </c>
      <c r="E194" t="s">
        <v>17</v>
      </c>
      <c r="F194" t="s">
        <v>18</v>
      </c>
      <c r="G194" t="s">
        <v>29</v>
      </c>
      <c r="H194">
        <v>5</v>
      </c>
      <c r="I194">
        <v>1193</v>
      </c>
      <c r="J194">
        <v>5193</v>
      </c>
      <c r="K194">
        <v>97454</v>
      </c>
      <c r="L194" t="s">
        <v>20</v>
      </c>
      <c r="M194">
        <v>54</v>
      </c>
      <c r="N194">
        <v>2</v>
      </c>
      <c r="O194" t="s">
        <v>31</v>
      </c>
    </row>
    <row r="195" spans="1:15" x14ac:dyDescent="0.3">
      <c r="A195">
        <v>194</v>
      </c>
      <c r="B195" t="s">
        <v>229</v>
      </c>
      <c r="C195">
        <v>53</v>
      </c>
      <c r="D195" t="s">
        <v>23</v>
      </c>
      <c r="E195" t="s">
        <v>43</v>
      </c>
      <c r="F195" t="s">
        <v>25</v>
      </c>
      <c r="G195" t="s">
        <v>19</v>
      </c>
      <c r="H195">
        <v>17</v>
      </c>
      <c r="I195">
        <v>1194</v>
      </c>
      <c r="J195">
        <v>5194</v>
      </c>
      <c r="K195">
        <v>85428</v>
      </c>
      <c r="L195" t="s">
        <v>27</v>
      </c>
      <c r="M195">
        <v>52</v>
      </c>
      <c r="N195">
        <v>4</v>
      </c>
      <c r="O195" t="s">
        <v>40</v>
      </c>
    </row>
    <row r="196" spans="1:15" x14ac:dyDescent="0.3">
      <c r="A196">
        <v>195</v>
      </c>
      <c r="B196" t="s">
        <v>230</v>
      </c>
      <c r="C196">
        <v>25</v>
      </c>
      <c r="D196" t="s">
        <v>16</v>
      </c>
      <c r="E196" t="s">
        <v>43</v>
      </c>
      <c r="F196" t="s">
        <v>33</v>
      </c>
      <c r="G196" t="s">
        <v>29</v>
      </c>
      <c r="H196">
        <v>7</v>
      </c>
      <c r="I196">
        <v>1195</v>
      </c>
      <c r="J196">
        <v>5195</v>
      </c>
      <c r="K196">
        <v>70601</v>
      </c>
      <c r="L196" t="s">
        <v>27</v>
      </c>
      <c r="M196">
        <v>20</v>
      </c>
      <c r="N196">
        <v>3</v>
      </c>
      <c r="O196" t="s">
        <v>21</v>
      </c>
    </row>
    <row r="197" spans="1:15" x14ac:dyDescent="0.3">
      <c r="A197">
        <v>196</v>
      </c>
      <c r="B197" t="s">
        <v>231</v>
      </c>
      <c r="C197">
        <v>41</v>
      </c>
      <c r="D197" t="s">
        <v>23</v>
      </c>
      <c r="E197" t="s">
        <v>45</v>
      </c>
      <c r="F197" t="s">
        <v>25</v>
      </c>
      <c r="G197" t="s">
        <v>29</v>
      </c>
      <c r="H197">
        <v>6</v>
      </c>
      <c r="I197">
        <v>1196</v>
      </c>
      <c r="J197">
        <v>5196</v>
      </c>
      <c r="K197">
        <v>97465</v>
      </c>
      <c r="L197" t="s">
        <v>27</v>
      </c>
      <c r="M197">
        <v>32</v>
      </c>
      <c r="N197">
        <v>2</v>
      </c>
      <c r="O197" t="s">
        <v>36</v>
      </c>
    </row>
    <row r="198" spans="1:15" x14ac:dyDescent="0.3">
      <c r="A198">
        <v>197</v>
      </c>
      <c r="B198" t="s">
        <v>232</v>
      </c>
      <c r="C198">
        <v>30</v>
      </c>
      <c r="D198" t="s">
        <v>16</v>
      </c>
      <c r="E198" t="s">
        <v>24</v>
      </c>
      <c r="F198" t="s">
        <v>18</v>
      </c>
      <c r="G198" t="s">
        <v>19</v>
      </c>
      <c r="H198">
        <v>0</v>
      </c>
      <c r="I198">
        <v>1197</v>
      </c>
      <c r="J198">
        <v>5197</v>
      </c>
      <c r="K198">
        <v>22539</v>
      </c>
      <c r="L198" t="s">
        <v>27</v>
      </c>
      <c r="M198">
        <v>14</v>
      </c>
      <c r="N198">
        <v>4</v>
      </c>
      <c r="O198" t="s">
        <v>31</v>
      </c>
    </row>
    <row r="199" spans="1:15" x14ac:dyDescent="0.3">
      <c r="A199">
        <v>198</v>
      </c>
      <c r="B199" t="s">
        <v>233</v>
      </c>
      <c r="C199">
        <v>35</v>
      </c>
      <c r="D199" t="s">
        <v>16</v>
      </c>
      <c r="E199" t="s">
        <v>17</v>
      </c>
      <c r="F199" t="s">
        <v>46</v>
      </c>
      <c r="G199" t="s">
        <v>26</v>
      </c>
      <c r="H199">
        <v>15</v>
      </c>
      <c r="I199">
        <v>1198</v>
      </c>
      <c r="J199">
        <v>5198</v>
      </c>
      <c r="K199">
        <v>42669</v>
      </c>
      <c r="L199" t="s">
        <v>20</v>
      </c>
      <c r="M199">
        <v>50</v>
      </c>
      <c r="N199">
        <v>1</v>
      </c>
      <c r="O199" t="s">
        <v>31</v>
      </c>
    </row>
    <row r="200" spans="1:15" x14ac:dyDescent="0.3">
      <c r="A200">
        <v>199</v>
      </c>
      <c r="B200" t="s">
        <v>234</v>
      </c>
      <c r="C200">
        <v>52</v>
      </c>
      <c r="D200" t="s">
        <v>16</v>
      </c>
      <c r="E200" t="s">
        <v>24</v>
      </c>
      <c r="F200" t="s">
        <v>46</v>
      </c>
      <c r="G200" t="s">
        <v>19</v>
      </c>
      <c r="H200">
        <v>11</v>
      </c>
      <c r="I200">
        <v>1199</v>
      </c>
      <c r="J200">
        <v>5199</v>
      </c>
      <c r="K200">
        <v>90968</v>
      </c>
      <c r="L200" t="s">
        <v>27</v>
      </c>
      <c r="M200">
        <v>28</v>
      </c>
      <c r="N200">
        <v>1</v>
      </c>
      <c r="O200" t="s">
        <v>36</v>
      </c>
    </row>
    <row r="201" spans="1:15" x14ac:dyDescent="0.3">
      <c r="A201">
        <v>200</v>
      </c>
      <c r="B201" t="s">
        <v>235</v>
      </c>
      <c r="C201">
        <v>28</v>
      </c>
      <c r="D201" t="s">
        <v>23</v>
      </c>
      <c r="E201" t="s">
        <v>24</v>
      </c>
      <c r="F201" t="s">
        <v>33</v>
      </c>
      <c r="G201" t="s">
        <v>26</v>
      </c>
      <c r="H201">
        <v>5</v>
      </c>
      <c r="I201">
        <v>1200</v>
      </c>
      <c r="J201">
        <v>5200</v>
      </c>
      <c r="K201">
        <v>40644</v>
      </c>
      <c r="L201" t="s">
        <v>20</v>
      </c>
      <c r="M201">
        <v>53</v>
      </c>
      <c r="N201">
        <v>4</v>
      </c>
      <c r="O201" t="s">
        <v>21</v>
      </c>
    </row>
    <row r="202" spans="1:15" x14ac:dyDescent="0.3">
      <c r="A202">
        <v>201</v>
      </c>
      <c r="B202" t="s">
        <v>236</v>
      </c>
      <c r="C202">
        <v>25</v>
      </c>
      <c r="D202" t="s">
        <v>23</v>
      </c>
      <c r="E202" t="s">
        <v>24</v>
      </c>
      <c r="F202" t="s">
        <v>25</v>
      </c>
      <c r="G202" t="s">
        <v>19</v>
      </c>
      <c r="H202">
        <v>19</v>
      </c>
      <c r="I202">
        <v>1201</v>
      </c>
      <c r="J202">
        <v>5201</v>
      </c>
      <c r="K202">
        <v>38745</v>
      </c>
      <c r="L202" t="s">
        <v>38</v>
      </c>
      <c r="M202">
        <v>24</v>
      </c>
      <c r="N202">
        <v>1</v>
      </c>
      <c r="O202" t="s">
        <v>31</v>
      </c>
    </row>
    <row r="203" spans="1:15" x14ac:dyDescent="0.3">
      <c r="A203">
        <v>202</v>
      </c>
      <c r="B203" t="s">
        <v>237</v>
      </c>
      <c r="C203">
        <v>35</v>
      </c>
      <c r="D203" t="s">
        <v>23</v>
      </c>
      <c r="E203" t="s">
        <v>24</v>
      </c>
      <c r="F203" t="s">
        <v>25</v>
      </c>
      <c r="G203" t="s">
        <v>19</v>
      </c>
      <c r="H203">
        <v>1</v>
      </c>
      <c r="I203">
        <v>1202</v>
      </c>
      <c r="J203">
        <v>5202</v>
      </c>
      <c r="K203">
        <v>48228</v>
      </c>
      <c r="L203" t="s">
        <v>27</v>
      </c>
      <c r="M203">
        <v>79</v>
      </c>
      <c r="N203">
        <v>4</v>
      </c>
      <c r="O203" t="s">
        <v>31</v>
      </c>
    </row>
    <row r="204" spans="1:15" x14ac:dyDescent="0.3">
      <c r="A204">
        <v>203</v>
      </c>
      <c r="B204" t="s">
        <v>238</v>
      </c>
      <c r="C204">
        <v>48</v>
      </c>
      <c r="D204" t="s">
        <v>23</v>
      </c>
      <c r="E204" t="s">
        <v>43</v>
      </c>
      <c r="F204" t="s">
        <v>33</v>
      </c>
      <c r="G204" t="s">
        <v>29</v>
      </c>
      <c r="H204">
        <v>13</v>
      </c>
      <c r="I204">
        <v>1203</v>
      </c>
      <c r="J204">
        <v>5203</v>
      </c>
      <c r="K204">
        <v>54521</v>
      </c>
      <c r="L204" t="s">
        <v>30</v>
      </c>
      <c r="M204">
        <v>22</v>
      </c>
      <c r="N204">
        <v>3</v>
      </c>
      <c r="O204" t="s">
        <v>31</v>
      </c>
    </row>
    <row r="205" spans="1:15" x14ac:dyDescent="0.3">
      <c r="A205">
        <v>204</v>
      </c>
      <c r="B205" t="s">
        <v>239</v>
      </c>
      <c r="C205">
        <v>22</v>
      </c>
      <c r="D205" t="s">
        <v>23</v>
      </c>
      <c r="E205" t="s">
        <v>43</v>
      </c>
      <c r="F205" t="s">
        <v>46</v>
      </c>
      <c r="G205" t="s">
        <v>26</v>
      </c>
      <c r="H205">
        <v>3</v>
      </c>
      <c r="I205">
        <v>1204</v>
      </c>
      <c r="J205">
        <v>5204</v>
      </c>
      <c r="K205">
        <v>117239</v>
      </c>
      <c r="L205" t="s">
        <v>27</v>
      </c>
      <c r="M205">
        <v>30</v>
      </c>
      <c r="N205">
        <v>4</v>
      </c>
      <c r="O205" t="s">
        <v>21</v>
      </c>
    </row>
    <row r="206" spans="1:15" x14ac:dyDescent="0.3">
      <c r="A206">
        <v>205</v>
      </c>
      <c r="B206" t="s">
        <v>240</v>
      </c>
      <c r="C206">
        <v>39</v>
      </c>
      <c r="D206" t="s">
        <v>16</v>
      </c>
      <c r="E206" t="s">
        <v>24</v>
      </c>
      <c r="F206" t="s">
        <v>18</v>
      </c>
      <c r="G206" t="s">
        <v>29</v>
      </c>
      <c r="H206">
        <v>0</v>
      </c>
      <c r="I206">
        <v>1205</v>
      </c>
      <c r="J206">
        <v>5205</v>
      </c>
      <c r="K206">
        <v>46928</v>
      </c>
      <c r="L206" t="s">
        <v>27</v>
      </c>
      <c r="M206">
        <v>63</v>
      </c>
      <c r="N206">
        <v>3</v>
      </c>
      <c r="O206" t="s">
        <v>21</v>
      </c>
    </row>
    <row r="207" spans="1:15" x14ac:dyDescent="0.3">
      <c r="A207">
        <v>206</v>
      </c>
      <c r="B207" t="s">
        <v>241</v>
      </c>
      <c r="C207">
        <v>55</v>
      </c>
      <c r="D207" t="s">
        <v>16</v>
      </c>
      <c r="E207" t="s">
        <v>17</v>
      </c>
      <c r="F207" t="s">
        <v>33</v>
      </c>
      <c r="G207" t="s">
        <v>26</v>
      </c>
      <c r="H207">
        <v>17</v>
      </c>
      <c r="I207">
        <v>1206</v>
      </c>
      <c r="J207">
        <v>5206</v>
      </c>
      <c r="K207">
        <v>38322</v>
      </c>
      <c r="L207" t="s">
        <v>20</v>
      </c>
      <c r="M207">
        <v>4</v>
      </c>
      <c r="N207">
        <v>2</v>
      </c>
      <c r="O207" t="s">
        <v>36</v>
      </c>
    </row>
    <row r="208" spans="1:15" x14ac:dyDescent="0.3">
      <c r="A208">
        <v>207</v>
      </c>
      <c r="B208" t="s">
        <v>242</v>
      </c>
      <c r="C208">
        <v>38</v>
      </c>
      <c r="D208" t="s">
        <v>16</v>
      </c>
      <c r="E208" t="s">
        <v>45</v>
      </c>
      <c r="F208" t="s">
        <v>18</v>
      </c>
      <c r="G208" t="s">
        <v>19</v>
      </c>
      <c r="H208">
        <v>12</v>
      </c>
      <c r="I208">
        <v>1207</v>
      </c>
      <c r="J208">
        <v>5207</v>
      </c>
      <c r="K208">
        <v>77714</v>
      </c>
      <c r="L208" t="s">
        <v>27</v>
      </c>
      <c r="M208">
        <v>77</v>
      </c>
      <c r="N208">
        <v>4</v>
      </c>
      <c r="O208" t="s">
        <v>21</v>
      </c>
    </row>
    <row r="209" spans="1:15" x14ac:dyDescent="0.3">
      <c r="A209">
        <v>208</v>
      </c>
      <c r="B209" t="s">
        <v>243</v>
      </c>
      <c r="C209">
        <v>45</v>
      </c>
      <c r="D209" t="s">
        <v>16</v>
      </c>
      <c r="E209" t="s">
        <v>17</v>
      </c>
      <c r="F209" t="s">
        <v>46</v>
      </c>
      <c r="G209" t="s">
        <v>19</v>
      </c>
      <c r="H209">
        <v>1</v>
      </c>
      <c r="I209">
        <v>1208</v>
      </c>
      <c r="J209">
        <v>5208</v>
      </c>
      <c r="K209">
        <v>107896</v>
      </c>
      <c r="L209" t="s">
        <v>30</v>
      </c>
      <c r="M209">
        <v>59</v>
      </c>
      <c r="N209">
        <v>2</v>
      </c>
      <c r="O209" t="s">
        <v>21</v>
      </c>
    </row>
    <row r="210" spans="1:15" x14ac:dyDescent="0.3">
      <c r="A210">
        <v>209</v>
      </c>
      <c r="B210" t="s">
        <v>244</v>
      </c>
      <c r="C210">
        <v>22</v>
      </c>
      <c r="D210" t="s">
        <v>23</v>
      </c>
      <c r="E210" t="s">
        <v>17</v>
      </c>
      <c r="F210" t="s">
        <v>25</v>
      </c>
      <c r="G210" t="s">
        <v>26</v>
      </c>
      <c r="H210">
        <v>8</v>
      </c>
      <c r="I210">
        <v>1209</v>
      </c>
      <c r="J210">
        <v>5209</v>
      </c>
      <c r="K210">
        <v>82292</v>
      </c>
      <c r="L210" t="s">
        <v>20</v>
      </c>
      <c r="M210">
        <v>87</v>
      </c>
      <c r="N210">
        <v>1</v>
      </c>
      <c r="O210" t="s">
        <v>40</v>
      </c>
    </row>
    <row r="211" spans="1:15" x14ac:dyDescent="0.3">
      <c r="A211">
        <v>210</v>
      </c>
      <c r="B211" t="s">
        <v>245</v>
      </c>
      <c r="C211">
        <v>38</v>
      </c>
      <c r="D211" t="s">
        <v>16</v>
      </c>
      <c r="E211" t="s">
        <v>17</v>
      </c>
      <c r="F211" t="s">
        <v>46</v>
      </c>
      <c r="G211" t="s">
        <v>29</v>
      </c>
      <c r="H211">
        <v>1</v>
      </c>
      <c r="I211">
        <v>1210</v>
      </c>
      <c r="J211">
        <v>5210</v>
      </c>
      <c r="K211">
        <v>49055</v>
      </c>
      <c r="L211" t="s">
        <v>20</v>
      </c>
      <c r="M211">
        <v>8</v>
      </c>
      <c r="N211">
        <v>3</v>
      </c>
      <c r="O211" t="s">
        <v>36</v>
      </c>
    </row>
    <row r="212" spans="1:15" x14ac:dyDescent="0.3">
      <c r="A212">
        <v>211</v>
      </c>
      <c r="B212" t="s">
        <v>246</v>
      </c>
      <c r="C212">
        <v>39</v>
      </c>
      <c r="D212" t="s">
        <v>23</v>
      </c>
      <c r="E212" t="s">
        <v>24</v>
      </c>
      <c r="F212" t="s">
        <v>33</v>
      </c>
      <c r="G212" t="s">
        <v>29</v>
      </c>
      <c r="H212">
        <v>8</v>
      </c>
      <c r="I212">
        <v>1211</v>
      </c>
      <c r="J212">
        <v>5211</v>
      </c>
      <c r="K212">
        <v>62891</v>
      </c>
      <c r="L212" t="s">
        <v>38</v>
      </c>
      <c r="M212">
        <v>82</v>
      </c>
      <c r="N212">
        <v>4</v>
      </c>
      <c r="O212" t="s">
        <v>31</v>
      </c>
    </row>
    <row r="213" spans="1:15" x14ac:dyDescent="0.3">
      <c r="A213">
        <v>212</v>
      </c>
      <c r="B213" t="s">
        <v>247</v>
      </c>
      <c r="C213">
        <v>51</v>
      </c>
      <c r="D213" t="s">
        <v>16</v>
      </c>
      <c r="E213" t="s">
        <v>43</v>
      </c>
      <c r="F213" t="s">
        <v>25</v>
      </c>
      <c r="G213" t="s">
        <v>29</v>
      </c>
      <c r="H213">
        <v>0</v>
      </c>
      <c r="I213">
        <v>1212</v>
      </c>
      <c r="J213">
        <v>5212</v>
      </c>
      <c r="K213">
        <v>101912</v>
      </c>
      <c r="L213" t="s">
        <v>38</v>
      </c>
      <c r="M213">
        <v>12</v>
      </c>
      <c r="N213">
        <v>2</v>
      </c>
      <c r="O213" t="s">
        <v>21</v>
      </c>
    </row>
    <row r="214" spans="1:15" x14ac:dyDescent="0.3">
      <c r="A214">
        <v>213</v>
      </c>
      <c r="B214" t="s">
        <v>248</v>
      </c>
      <c r="C214">
        <v>26</v>
      </c>
      <c r="D214" t="s">
        <v>23</v>
      </c>
      <c r="E214" t="s">
        <v>17</v>
      </c>
      <c r="F214" t="s">
        <v>33</v>
      </c>
      <c r="G214" t="s">
        <v>29</v>
      </c>
      <c r="H214">
        <v>10</v>
      </c>
      <c r="I214">
        <v>1213</v>
      </c>
      <c r="J214">
        <v>5213</v>
      </c>
      <c r="K214">
        <v>26588</v>
      </c>
      <c r="L214" t="s">
        <v>27</v>
      </c>
      <c r="M214">
        <v>31</v>
      </c>
      <c r="N214">
        <v>3</v>
      </c>
      <c r="O214" t="s">
        <v>31</v>
      </c>
    </row>
    <row r="215" spans="1:15" x14ac:dyDescent="0.3">
      <c r="A215">
        <v>214</v>
      </c>
      <c r="B215" t="s">
        <v>249</v>
      </c>
      <c r="C215">
        <v>52</v>
      </c>
      <c r="D215" t="s">
        <v>23</v>
      </c>
      <c r="E215" t="s">
        <v>24</v>
      </c>
      <c r="F215" t="s">
        <v>33</v>
      </c>
      <c r="G215" t="s">
        <v>19</v>
      </c>
      <c r="H215">
        <v>2</v>
      </c>
      <c r="I215">
        <v>1214</v>
      </c>
      <c r="J215">
        <v>5214</v>
      </c>
      <c r="K215">
        <v>110536</v>
      </c>
      <c r="L215" t="s">
        <v>38</v>
      </c>
      <c r="M215">
        <v>78</v>
      </c>
      <c r="N215">
        <v>3</v>
      </c>
      <c r="O215" t="s">
        <v>31</v>
      </c>
    </row>
    <row r="216" spans="1:15" x14ac:dyDescent="0.3">
      <c r="A216">
        <v>215</v>
      </c>
      <c r="B216" t="s">
        <v>250</v>
      </c>
      <c r="C216">
        <v>59</v>
      </c>
      <c r="D216" t="s">
        <v>16</v>
      </c>
      <c r="E216" t="s">
        <v>17</v>
      </c>
      <c r="F216" t="s">
        <v>46</v>
      </c>
      <c r="G216" t="s">
        <v>19</v>
      </c>
      <c r="H216">
        <v>19</v>
      </c>
      <c r="I216">
        <v>1215</v>
      </c>
      <c r="J216">
        <v>5215</v>
      </c>
      <c r="K216">
        <v>26304</v>
      </c>
      <c r="L216" t="s">
        <v>38</v>
      </c>
      <c r="M216">
        <v>34</v>
      </c>
      <c r="N216">
        <v>1</v>
      </c>
      <c r="O216" t="s">
        <v>40</v>
      </c>
    </row>
    <row r="217" spans="1:15" x14ac:dyDescent="0.3">
      <c r="A217">
        <v>216</v>
      </c>
      <c r="B217" t="s">
        <v>251</v>
      </c>
      <c r="C217">
        <v>58</v>
      </c>
      <c r="D217" t="s">
        <v>16</v>
      </c>
      <c r="E217" t="s">
        <v>17</v>
      </c>
      <c r="F217" t="s">
        <v>33</v>
      </c>
      <c r="G217" t="s">
        <v>19</v>
      </c>
      <c r="H217">
        <v>3</v>
      </c>
      <c r="I217">
        <v>1216</v>
      </c>
      <c r="J217">
        <v>5216</v>
      </c>
      <c r="K217">
        <v>27345</v>
      </c>
      <c r="L217" t="s">
        <v>38</v>
      </c>
      <c r="M217">
        <v>82</v>
      </c>
      <c r="N217">
        <v>1</v>
      </c>
      <c r="O217" t="s">
        <v>21</v>
      </c>
    </row>
    <row r="218" spans="1:15" x14ac:dyDescent="0.3">
      <c r="A218">
        <v>217</v>
      </c>
      <c r="B218" t="s">
        <v>252</v>
      </c>
      <c r="C218">
        <v>37</v>
      </c>
      <c r="D218" t="s">
        <v>16</v>
      </c>
      <c r="E218" t="s">
        <v>24</v>
      </c>
      <c r="F218" t="s">
        <v>46</v>
      </c>
      <c r="G218" t="s">
        <v>19</v>
      </c>
      <c r="H218">
        <v>17</v>
      </c>
      <c r="I218">
        <v>1217</v>
      </c>
      <c r="J218">
        <v>5217</v>
      </c>
      <c r="K218">
        <v>49300</v>
      </c>
      <c r="L218" t="s">
        <v>20</v>
      </c>
      <c r="M218">
        <v>98</v>
      </c>
      <c r="N218">
        <v>3</v>
      </c>
      <c r="O218" t="s">
        <v>36</v>
      </c>
    </row>
    <row r="219" spans="1:15" x14ac:dyDescent="0.3">
      <c r="A219">
        <v>218</v>
      </c>
      <c r="B219" t="s">
        <v>253</v>
      </c>
      <c r="C219">
        <v>59</v>
      </c>
      <c r="D219" t="s">
        <v>16</v>
      </c>
      <c r="E219" t="s">
        <v>43</v>
      </c>
      <c r="F219" t="s">
        <v>25</v>
      </c>
      <c r="G219" t="s">
        <v>19</v>
      </c>
      <c r="H219">
        <v>5</v>
      </c>
      <c r="I219">
        <v>1218</v>
      </c>
      <c r="J219">
        <v>5218</v>
      </c>
      <c r="K219">
        <v>44259</v>
      </c>
      <c r="L219" t="s">
        <v>20</v>
      </c>
      <c r="M219">
        <v>75</v>
      </c>
      <c r="N219">
        <v>3</v>
      </c>
      <c r="O219" t="s">
        <v>21</v>
      </c>
    </row>
    <row r="220" spans="1:15" x14ac:dyDescent="0.3">
      <c r="A220">
        <v>219</v>
      </c>
      <c r="B220" t="s">
        <v>254</v>
      </c>
      <c r="C220">
        <v>20</v>
      </c>
      <c r="D220" t="s">
        <v>23</v>
      </c>
      <c r="E220" t="s">
        <v>43</v>
      </c>
      <c r="F220" t="s">
        <v>46</v>
      </c>
      <c r="G220" t="s">
        <v>29</v>
      </c>
      <c r="H220">
        <v>2</v>
      </c>
      <c r="I220">
        <v>1219</v>
      </c>
      <c r="J220">
        <v>5219</v>
      </c>
      <c r="K220">
        <v>111006</v>
      </c>
      <c r="L220" t="s">
        <v>20</v>
      </c>
      <c r="M220">
        <v>76</v>
      </c>
      <c r="N220">
        <v>4</v>
      </c>
      <c r="O220" t="s">
        <v>31</v>
      </c>
    </row>
    <row r="221" spans="1:15" x14ac:dyDescent="0.3">
      <c r="A221">
        <v>220</v>
      </c>
      <c r="B221" t="s">
        <v>255</v>
      </c>
      <c r="C221">
        <v>30</v>
      </c>
      <c r="D221" t="s">
        <v>16</v>
      </c>
      <c r="E221" t="s">
        <v>45</v>
      </c>
      <c r="F221" t="s">
        <v>25</v>
      </c>
      <c r="G221" t="s">
        <v>29</v>
      </c>
      <c r="H221">
        <v>10</v>
      </c>
      <c r="I221">
        <v>1220</v>
      </c>
      <c r="J221">
        <v>5220</v>
      </c>
      <c r="K221">
        <v>108553</v>
      </c>
      <c r="L221" t="s">
        <v>38</v>
      </c>
      <c r="M221">
        <v>49</v>
      </c>
      <c r="N221">
        <v>3</v>
      </c>
      <c r="O221" t="s">
        <v>36</v>
      </c>
    </row>
    <row r="222" spans="1:15" x14ac:dyDescent="0.3">
      <c r="A222">
        <v>221</v>
      </c>
      <c r="B222" t="s">
        <v>256</v>
      </c>
      <c r="C222">
        <v>47</v>
      </c>
      <c r="D222" t="s">
        <v>16</v>
      </c>
      <c r="E222" t="s">
        <v>24</v>
      </c>
      <c r="F222" t="s">
        <v>46</v>
      </c>
      <c r="G222" t="s">
        <v>29</v>
      </c>
      <c r="H222">
        <v>14</v>
      </c>
      <c r="I222">
        <v>1221</v>
      </c>
      <c r="J222">
        <v>5221</v>
      </c>
      <c r="K222">
        <v>35352</v>
      </c>
      <c r="L222" t="s">
        <v>20</v>
      </c>
      <c r="M222">
        <v>79</v>
      </c>
      <c r="N222">
        <v>4</v>
      </c>
      <c r="O222" t="s">
        <v>21</v>
      </c>
    </row>
    <row r="223" spans="1:15" x14ac:dyDescent="0.3">
      <c r="A223">
        <v>222</v>
      </c>
      <c r="B223" t="s">
        <v>257</v>
      </c>
      <c r="C223">
        <v>44</v>
      </c>
      <c r="D223" t="s">
        <v>23</v>
      </c>
      <c r="E223" t="s">
        <v>45</v>
      </c>
      <c r="F223" t="s">
        <v>18</v>
      </c>
      <c r="G223" t="s">
        <v>29</v>
      </c>
      <c r="H223">
        <v>4</v>
      </c>
      <c r="I223">
        <v>1222</v>
      </c>
      <c r="J223">
        <v>5222</v>
      </c>
      <c r="K223">
        <v>53365</v>
      </c>
      <c r="L223" t="s">
        <v>38</v>
      </c>
      <c r="M223">
        <v>57</v>
      </c>
      <c r="N223">
        <v>3</v>
      </c>
      <c r="O223" t="s">
        <v>31</v>
      </c>
    </row>
    <row r="224" spans="1:15" x14ac:dyDescent="0.3">
      <c r="A224">
        <v>223</v>
      </c>
      <c r="B224" t="s">
        <v>258</v>
      </c>
      <c r="C224">
        <v>42</v>
      </c>
      <c r="D224" t="s">
        <v>16</v>
      </c>
      <c r="E224" t="s">
        <v>45</v>
      </c>
      <c r="F224" t="s">
        <v>18</v>
      </c>
      <c r="G224" t="s">
        <v>19</v>
      </c>
      <c r="H224">
        <v>19</v>
      </c>
      <c r="I224">
        <v>1223</v>
      </c>
      <c r="J224">
        <v>5223</v>
      </c>
      <c r="K224">
        <v>39446</v>
      </c>
      <c r="L224" t="s">
        <v>20</v>
      </c>
      <c r="M224">
        <v>95</v>
      </c>
      <c r="N224">
        <v>1</v>
      </c>
      <c r="O224" t="s">
        <v>31</v>
      </c>
    </row>
    <row r="225" spans="1:15" x14ac:dyDescent="0.3">
      <c r="A225">
        <v>224</v>
      </c>
      <c r="B225" t="s">
        <v>259</v>
      </c>
      <c r="C225">
        <v>50</v>
      </c>
      <c r="D225" t="s">
        <v>16</v>
      </c>
      <c r="E225" t="s">
        <v>45</v>
      </c>
      <c r="F225" t="s">
        <v>33</v>
      </c>
      <c r="G225" t="s">
        <v>19</v>
      </c>
      <c r="H225">
        <v>9</v>
      </c>
      <c r="I225">
        <v>1224</v>
      </c>
      <c r="J225">
        <v>5224</v>
      </c>
      <c r="K225">
        <v>22336</v>
      </c>
      <c r="L225" t="s">
        <v>20</v>
      </c>
      <c r="M225">
        <v>93</v>
      </c>
      <c r="N225">
        <v>4</v>
      </c>
      <c r="O225" t="s">
        <v>40</v>
      </c>
    </row>
    <row r="226" spans="1:15" x14ac:dyDescent="0.3">
      <c r="A226">
        <v>225</v>
      </c>
      <c r="B226" t="s">
        <v>260</v>
      </c>
      <c r="C226">
        <v>49</v>
      </c>
      <c r="D226" t="s">
        <v>16</v>
      </c>
      <c r="E226" t="s">
        <v>43</v>
      </c>
      <c r="F226" t="s">
        <v>46</v>
      </c>
      <c r="G226" t="s">
        <v>19</v>
      </c>
      <c r="H226">
        <v>11</v>
      </c>
      <c r="I226">
        <v>1225</v>
      </c>
      <c r="J226">
        <v>5225</v>
      </c>
      <c r="K226">
        <v>82032</v>
      </c>
      <c r="L226" t="s">
        <v>30</v>
      </c>
      <c r="M226">
        <v>26</v>
      </c>
      <c r="N226">
        <v>2</v>
      </c>
      <c r="O226" t="s">
        <v>40</v>
      </c>
    </row>
    <row r="227" spans="1:15" x14ac:dyDescent="0.3">
      <c r="A227">
        <v>226</v>
      </c>
      <c r="B227" t="s">
        <v>261</v>
      </c>
      <c r="C227">
        <v>54</v>
      </c>
      <c r="D227" t="s">
        <v>16</v>
      </c>
      <c r="E227" t="s">
        <v>24</v>
      </c>
      <c r="F227" t="s">
        <v>46</v>
      </c>
      <c r="G227" t="s">
        <v>26</v>
      </c>
      <c r="H227">
        <v>14</v>
      </c>
      <c r="I227">
        <v>1226</v>
      </c>
      <c r="J227">
        <v>5226</v>
      </c>
      <c r="K227">
        <v>95415</v>
      </c>
      <c r="L227" t="s">
        <v>27</v>
      </c>
      <c r="M227">
        <v>18</v>
      </c>
      <c r="N227">
        <v>1</v>
      </c>
      <c r="O227" t="s">
        <v>40</v>
      </c>
    </row>
    <row r="228" spans="1:15" x14ac:dyDescent="0.3">
      <c r="A228">
        <v>227</v>
      </c>
      <c r="B228" t="s">
        <v>262</v>
      </c>
      <c r="C228">
        <v>26</v>
      </c>
      <c r="D228" t="s">
        <v>16</v>
      </c>
      <c r="E228" t="s">
        <v>45</v>
      </c>
      <c r="F228" t="s">
        <v>25</v>
      </c>
      <c r="G228" t="s">
        <v>29</v>
      </c>
      <c r="H228">
        <v>16</v>
      </c>
      <c r="I228">
        <v>1227</v>
      </c>
      <c r="J228">
        <v>5227</v>
      </c>
      <c r="K228">
        <v>117852</v>
      </c>
      <c r="L228" t="s">
        <v>38</v>
      </c>
      <c r="M228">
        <v>96</v>
      </c>
      <c r="N228">
        <v>4</v>
      </c>
      <c r="O228" t="s">
        <v>31</v>
      </c>
    </row>
    <row r="229" spans="1:15" x14ac:dyDescent="0.3">
      <c r="A229">
        <v>228</v>
      </c>
      <c r="B229" t="s">
        <v>263</v>
      </c>
      <c r="C229">
        <v>35</v>
      </c>
      <c r="D229" t="s">
        <v>23</v>
      </c>
      <c r="E229" t="s">
        <v>24</v>
      </c>
      <c r="F229" t="s">
        <v>33</v>
      </c>
      <c r="G229" t="s">
        <v>29</v>
      </c>
      <c r="H229">
        <v>9</v>
      </c>
      <c r="I229">
        <v>1228</v>
      </c>
      <c r="J229">
        <v>5228</v>
      </c>
      <c r="K229">
        <v>118876</v>
      </c>
      <c r="L229" t="s">
        <v>30</v>
      </c>
      <c r="M229">
        <v>86</v>
      </c>
      <c r="N229">
        <v>4</v>
      </c>
      <c r="O229" t="s">
        <v>21</v>
      </c>
    </row>
    <row r="230" spans="1:15" x14ac:dyDescent="0.3">
      <c r="A230">
        <v>229</v>
      </c>
      <c r="B230" t="s">
        <v>264</v>
      </c>
      <c r="C230">
        <v>45</v>
      </c>
      <c r="D230" t="s">
        <v>16</v>
      </c>
      <c r="E230" t="s">
        <v>24</v>
      </c>
      <c r="F230" t="s">
        <v>46</v>
      </c>
      <c r="G230" t="s">
        <v>19</v>
      </c>
      <c r="H230">
        <v>5</v>
      </c>
      <c r="I230">
        <v>1229</v>
      </c>
      <c r="J230">
        <v>5229</v>
      </c>
      <c r="K230">
        <v>27521</v>
      </c>
      <c r="L230" t="s">
        <v>20</v>
      </c>
      <c r="M230">
        <v>38</v>
      </c>
      <c r="N230">
        <v>2</v>
      </c>
      <c r="O230" t="s">
        <v>40</v>
      </c>
    </row>
    <row r="231" spans="1:15" x14ac:dyDescent="0.3">
      <c r="A231">
        <v>230</v>
      </c>
      <c r="B231" t="s">
        <v>265</v>
      </c>
      <c r="C231">
        <v>21</v>
      </c>
      <c r="D231" t="s">
        <v>16</v>
      </c>
      <c r="E231" t="s">
        <v>43</v>
      </c>
      <c r="F231" t="s">
        <v>33</v>
      </c>
      <c r="G231" t="s">
        <v>29</v>
      </c>
      <c r="H231">
        <v>17</v>
      </c>
      <c r="I231">
        <v>1230</v>
      </c>
      <c r="J231">
        <v>5230</v>
      </c>
      <c r="K231">
        <v>91707</v>
      </c>
      <c r="L231" t="s">
        <v>38</v>
      </c>
      <c r="M231">
        <v>81</v>
      </c>
      <c r="N231">
        <v>4</v>
      </c>
      <c r="O231" t="s">
        <v>21</v>
      </c>
    </row>
    <row r="232" spans="1:15" x14ac:dyDescent="0.3">
      <c r="A232">
        <v>231</v>
      </c>
      <c r="B232" t="s">
        <v>266</v>
      </c>
      <c r="C232">
        <v>20</v>
      </c>
      <c r="D232" t="s">
        <v>16</v>
      </c>
      <c r="E232" t="s">
        <v>45</v>
      </c>
      <c r="F232" t="s">
        <v>18</v>
      </c>
      <c r="G232" t="s">
        <v>29</v>
      </c>
      <c r="H232">
        <v>12</v>
      </c>
      <c r="I232">
        <v>1231</v>
      </c>
      <c r="J232">
        <v>5231</v>
      </c>
      <c r="K232">
        <v>43481</v>
      </c>
      <c r="L232" t="s">
        <v>20</v>
      </c>
      <c r="M232">
        <v>87</v>
      </c>
      <c r="N232">
        <v>3</v>
      </c>
      <c r="O232" t="s">
        <v>40</v>
      </c>
    </row>
    <row r="233" spans="1:15" x14ac:dyDescent="0.3">
      <c r="A233">
        <v>232</v>
      </c>
      <c r="B233" t="s">
        <v>267</v>
      </c>
      <c r="C233">
        <v>31</v>
      </c>
      <c r="D233" t="s">
        <v>16</v>
      </c>
      <c r="E233" t="s">
        <v>45</v>
      </c>
      <c r="F233" t="s">
        <v>46</v>
      </c>
      <c r="G233" t="s">
        <v>19</v>
      </c>
      <c r="H233">
        <v>2</v>
      </c>
      <c r="I233">
        <v>1232</v>
      </c>
      <c r="J233">
        <v>5232</v>
      </c>
      <c r="K233">
        <v>38474</v>
      </c>
      <c r="L233" t="s">
        <v>27</v>
      </c>
      <c r="M233">
        <v>88</v>
      </c>
      <c r="N233">
        <v>2</v>
      </c>
      <c r="O233" t="s">
        <v>36</v>
      </c>
    </row>
    <row r="234" spans="1:15" x14ac:dyDescent="0.3">
      <c r="A234">
        <v>233</v>
      </c>
      <c r="B234" t="s">
        <v>268</v>
      </c>
      <c r="C234">
        <v>24</v>
      </c>
      <c r="D234" t="s">
        <v>16</v>
      </c>
      <c r="E234" t="s">
        <v>24</v>
      </c>
      <c r="F234" t="s">
        <v>46</v>
      </c>
      <c r="G234" t="s">
        <v>26</v>
      </c>
      <c r="H234">
        <v>9</v>
      </c>
      <c r="I234">
        <v>1233</v>
      </c>
      <c r="J234">
        <v>5233</v>
      </c>
      <c r="K234">
        <v>66760</v>
      </c>
      <c r="L234" t="s">
        <v>30</v>
      </c>
      <c r="M234">
        <v>50</v>
      </c>
      <c r="N234">
        <v>1</v>
      </c>
      <c r="O234" t="s">
        <v>36</v>
      </c>
    </row>
    <row r="235" spans="1:15" x14ac:dyDescent="0.3">
      <c r="A235">
        <v>234</v>
      </c>
      <c r="B235" t="s">
        <v>269</v>
      </c>
      <c r="C235">
        <v>56</v>
      </c>
      <c r="D235" t="s">
        <v>23</v>
      </c>
      <c r="E235" t="s">
        <v>17</v>
      </c>
      <c r="F235" t="s">
        <v>33</v>
      </c>
      <c r="G235" t="s">
        <v>26</v>
      </c>
      <c r="H235">
        <v>13</v>
      </c>
      <c r="I235">
        <v>1234</v>
      </c>
      <c r="J235">
        <v>5234</v>
      </c>
      <c r="K235">
        <v>75718</v>
      </c>
      <c r="L235" t="s">
        <v>27</v>
      </c>
      <c r="M235">
        <v>8</v>
      </c>
      <c r="N235">
        <v>1</v>
      </c>
      <c r="O235" t="s">
        <v>40</v>
      </c>
    </row>
    <row r="236" spans="1:15" x14ac:dyDescent="0.3">
      <c r="A236">
        <v>235</v>
      </c>
      <c r="B236" t="s">
        <v>270</v>
      </c>
      <c r="C236">
        <v>51</v>
      </c>
      <c r="D236" t="s">
        <v>16</v>
      </c>
      <c r="E236" t="s">
        <v>43</v>
      </c>
      <c r="F236" t="s">
        <v>46</v>
      </c>
      <c r="G236" t="s">
        <v>26</v>
      </c>
      <c r="H236">
        <v>5</v>
      </c>
      <c r="I236">
        <v>1235</v>
      </c>
      <c r="J236">
        <v>5235</v>
      </c>
      <c r="K236">
        <v>64629</v>
      </c>
      <c r="L236" t="s">
        <v>30</v>
      </c>
      <c r="M236">
        <v>41</v>
      </c>
      <c r="N236">
        <v>3</v>
      </c>
      <c r="O236" t="s">
        <v>31</v>
      </c>
    </row>
    <row r="237" spans="1:15" x14ac:dyDescent="0.3">
      <c r="A237">
        <v>236</v>
      </c>
      <c r="B237" t="s">
        <v>271</v>
      </c>
      <c r="C237">
        <v>28</v>
      </c>
      <c r="D237" t="s">
        <v>23</v>
      </c>
      <c r="E237" t="s">
        <v>43</v>
      </c>
      <c r="F237" t="s">
        <v>33</v>
      </c>
      <c r="G237" t="s">
        <v>19</v>
      </c>
      <c r="H237">
        <v>2</v>
      </c>
      <c r="I237">
        <v>1236</v>
      </c>
      <c r="J237">
        <v>5236</v>
      </c>
      <c r="K237">
        <v>65232</v>
      </c>
      <c r="L237" t="s">
        <v>20</v>
      </c>
      <c r="M237">
        <v>6</v>
      </c>
      <c r="N237">
        <v>1</v>
      </c>
      <c r="O237" t="s">
        <v>40</v>
      </c>
    </row>
    <row r="238" spans="1:15" x14ac:dyDescent="0.3">
      <c r="A238">
        <v>237</v>
      </c>
      <c r="B238" t="s">
        <v>272</v>
      </c>
      <c r="C238">
        <v>54</v>
      </c>
      <c r="D238" t="s">
        <v>23</v>
      </c>
      <c r="E238" t="s">
        <v>43</v>
      </c>
      <c r="F238" t="s">
        <v>46</v>
      </c>
      <c r="G238" t="s">
        <v>29</v>
      </c>
      <c r="H238">
        <v>15</v>
      </c>
      <c r="I238">
        <v>1237</v>
      </c>
      <c r="J238">
        <v>5237</v>
      </c>
      <c r="K238">
        <v>106544</v>
      </c>
      <c r="L238" t="s">
        <v>27</v>
      </c>
      <c r="M238">
        <v>69</v>
      </c>
      <c r="N238">
        <v>4</v>
      </c>
      <c r="O238" t="s">
        <v>40</v>
      </c>
    </row>
    <row r="239" spans="1:15" x14ac:dyDescent="0.3">
      <c r="A239">
        <v>238</v>
      </c>
      <c r="B239" t="s">
        <v>273</v>
      </c>
      <c r="C239">
        <v>38</v>
      </c>
      <c r="D239" t="s">
        <v>16</v>
      </c>
      <c r="E239" t="s">
        <v>43</v>
      </c>
      <c r="F239" t="s">
        <v>25</v>
      </c>
      <c r="G239" t="s">
        <v>19</v>
      </c>
      <c r="H239">
        <v>6</v>
      </c>
      <c r="I239">
        <v>1238</v>
      </c>
      <c r="J239">
        <v>5238</v>
      </c>
      <c r="K239">
        <v>87169</v>
      </c>
      <c r="L239" t="s">
        <v>27</v>
      </c>
      <c r="M239">
        <v>44</v>
      </c>
      <c r="N239">
        <v>4</v>
      </c>
      <c r="O239" t="s">
        <v>31</v>
      </c>
    </row>
    <row r="240" spans="1:15" x14ac:dyDescent="0.3">
      <c r="A240">
        <v>239</v>
      </c>
      <c r="B240" t="s">
        <v>274</v>
      </c>
      <c r="C240">
        <v>35</v>
      </c>
      <c r="D240" t="s">
        <v>16</v>
      </c>
      <c r="E240" t="s">
        <v>45</v>
      </c>
      <c r="F240" t="s">
        <v>33</v>
      </c>
      <c r="G240" t="s">
        <v>19</v>
      </c>
      <c r="H240">
        <v>19</v>
      </c>
      <c r="I240">
        <v>1239</v>
      </c>
      <c r="J240">
        <v>5239</v>
      </c>
      <c r="K240">
        <v>70669</v>
      </c>
      <c r="L240" t="s">
        <v>20</v>
      </c>
      <c r="M240">
        <v>64</v>
      </c>
      <c r="N240">
        <v>3</v>
      </c>
      <c r="O240" t="s">
        <v>36</v>
      </c>
    </row>
    <row r="241" spans="1:15" x14ac:dyDescent="0.3">
      <c r="A241">
        <v>240</v>
      </c>
      <c r="B241" t="s">
        <v>275</v>
      </c>
      <c r="C241">
        <v>22</v>
      </c>
      <c r="D241" t="s">
        <v>16</v>
      </c>
      <c r="E241" t="s">
        <v>45</v>
      </c>
      <c r="F241" t="s">
        <v>46</v>
      </c>
      <c r="G241" t="s">
        <v>29</v>
      </c>
      <c r="H241">
        <v>13</v>
      </c>
      <c r="I241">
        <v>1240</v>
      </c>
      <c r="J241">
        <v>5240</v>
      </c>
      <c r="K241">
        <v>98021</v>
      </c>
      <c r="L241" t="s">
        <v>27</v>
      </c>
      <c r="M241">
        <v>29</v>
      </c>
      <c r="N241">
        <v>1</v>
      </c>
      <c r="O241" t="s">
        <v>21</v>
      </c>
    </row>
    <row r="242" spans="1:15" x14ac:dyDescent="0.3">
      <c r="A242">
        <v>241</v>
      </c>
      <c r="B242" t="s">
        <v>276</v>
      </c>
      <c r="C242">
        <v>39</v>
      </c>
      <c r="D242" t="s">
        <v>16</v>
      </c>
      <c r="E242" t="s">
        <v>17</v>
      </c>
      <c r="F242" t="s">
        <v>18</v>
      </c>
      <c r="G242" t="s">
        <v>26</v>
      </c>
      <c r="H242">
        <v>8</v>
      </c>
      <c r="I242">
        <v>1241</v>
      </c>
      <c r="J242">
        <v>5241</v>
      </c>
      <c r="K242">
        <v>89184</v>
      </c>
      <c r="L242" t="s">
        <v>38</v>
      </c>
      <c r="M242">
        <v>28</v>
      </c>
      <c r="N242">
        <v>1</v>
      </c>
      <c r="O242" t="s">
        <v>40</v>
      </c>
    </row>
    <row r="243" spans="1:15" x14ac:dyDescent="0.3">
      <c r="A243">
        <v>242</v>
      </c>
      <c r="B243" t="s">
        <v>277</v>
      </c>
      <c r="C243">
        <v>43</v>
      </c>
      <c r="D243" t="s">
        <v>23</v>
      </c>
      <c r="E243" t="s">
        <v>43</v>
      </c>
      <c r="F243" t="s">
        <v>46</v>
      </c>
      <c r="G243" t="s">
        <v>26</v>
      </c>
      <c r="H243">
        <v>14</v>
      </c>
      <c r="I243">
        <v>1242</v>
      </c>
      <c r="J243">
        <v>5242</v>
      </c>
      <c r="K243">
        <v>67945</v>
      </c>
      <c r="L243" t="s">
        <v>30</v>
      </c>
      <c r="M243">
        <v>11</v>
      </c>
      <c r="N243">
        <v>3</v>
      </c>
      <c r="O243" t="s">
        <v>31</v>
      </c>
    </row>
    <row r="244" spans="1:15" x14ac:dyDescent="0.3">
      <c r="A244">
        <v>243</v>
      </c>
      <c r="B244" t="s">
        <v>278</v>
      </c>
      <c r="C244">
        <v>52</v>
      </c>
      <c r="D244" t="s">
        <v>16</v>
      </c>
      <c r="E244" t="s">
        <v>43</v>
      </c>
      <c r="F244" t="s">
        <v>18</v>
      </c>
      <c r="G244" t="s">
        <v>19</v>
      </c>
      <c r="H244">
        <v>2</v>
      </c>
      <c r="I244">
        <v>1243</v>
      </c>
      <c r="J244">
        <v>5243</v>
      </c>
      <c r="K244">
        <v>33140</v>
      </c>
      <c r="L244" t="s">
        <v>30</v>
      </c>
      <c r="M244">
        <v>65</v>
      </c>
      <c r="N244">
        <v>2</v>
      </c>
      <c r="O244" t="s">
        <v>40</v>
      </c>
    </row>
    <row r="245" spans="1:15" x14ac:dyDescent="0.3">
      <c r="A245">
        <v>244</v>
      </c>
      <c r="B245" t="s">
        <v>279</v>
      </c>
      <c r="C245">
        <v>43</v>
      </c>
      <c r="D245" t="s">
        <v>16</v>
      </c>
      <c r="E245" t="s">
        <v>24</v>
      </c>
      <c r="F245" t="s">
        <v>18</v>
      </c>
      <c r="G245" t="s">
        <v>26</v>
      </c>
      <c r="H245">
        <v>1</v>
      </c>
      <c r="I245">
        <v>1244</v>
      </c>
      <c r="J245">
        <v>5244</v>
      </c>
      <c r="K245">
        <v>103457</v>
      </c>
      <c r="L245" t="s">
        <v>30</v>
      </c>
      <c r="M245">
        <v>19</v>
      </c>
      <c r="N245">
        <v>1</v>
      </c>
      <c r="O245" t="s">
        <v>31</v>
      </c>
    </row>
    <row r="246" spans="1:15" x14ac:dyDescent="0.3">
      <c r="A246">
        <v>245</v>
      </c>
      <c r="B246" t="s">
        <v>280</v>
      </c>
      <c r="C246">
        <v>30</v>
      </c>
      <c r="D246" t="s">
        <v>16</v>
      </c>
      <c r="E246" t="s">
        <v>45</v>
      </c>
      <c r="F246" t="s">
        <v>25</v>
      </c>
      <c r="G246" t="s">
        <v>19</v>
      </c>
      <c r="H246">
        <v>1</v>
      </c>
      <c r="I246">
        <v>1245</v>
      </c>
      <c r="J246">
        <v>5245</v>
      </c>
      <c r="K246">
        <v>34357</v>
      </c>
      <c r="L246" t="s">
        <v>38</v>
      </c>
      <c r="M246">
        <v>9</v>
      </c>
      <c r="N246">
        <v>2</v>
      </c>
      <c r="O246" t="s">
        <v>21</v>
      </c>
    </row>
    <row r="247" spans="1:15" x14ac:dyDescent="0.3">
      <c r="A247">
        <v>246</v>
      </c>
      <c r="B247" t="s">
        <v>281</v>
      </c>
      <c r="C247">
        <v>27</v>
      </c>
      <c r="D247" t="s">
        <v>16</v>
      </c>
      <c r="E247" t="s">
        <v>43</v>
      </c>
      <c r="F247" t="s">
        <v>33</v>
      </c>
      <c r="G247" t="s">
        <v>19</v>
      </c>
      <c r="H247">
        <v>2</v>
      </c>
      <c r="I247">
        <v>1246</v>
      </c>
      <c r="J247">
        <v>5246</v>
      </c>
      <c r="K247">
        <v>88673</v>
      </c>
      <c r="L247" t="s">
        <v>30</v>
      </c>
      <c r="M247">
        <v>27</v>
      </c>
      <c r="N247">
        <v>1</v>
      </c>
      <c r="O247" t="s">
        <v>21</v>
      </c>
    </row>
    <row r="248" spans="1:15" x14ac:dyDescent="0.3">
      <c r="A248">
        <v>247</v>
      </c>
      <c r="B248" t="s">
        <v>282</v>
      </c>
      <c r="C248">
        <v>55</v>
      </c>
      <c r="D248" t="s">
        <v>16</v>
      </c>
      <c r="E248" t="s">
        <v>17</v>
      </c>
      <c r="F248" t="s">
        <v>46</v>
      </c>
      <c r="G248" t="s">
        <v>29</v>
      </c>
      <c r="H248">
        <v>17</v>
      </c>
      <c r="I248">
        <v>1247</v>
      </c>
      <c r="J248">
        <v>5247</v>
      </c>
      <c r="K248">
        <v>85633</v>
      </c>
      <c r="L248" t="s">
        <v>20</v>
      </c>
      <c r="M248">
        <v>34</v>
      </c>
      <c r="N248">
        <v>1</v>
      </c>
      <c r="O248" t="s">
        <v>36</v>
      </c>
    </row>
    <row r="249" spans="1:15" x14ac:dyDescent="0.3">
      <c r="A249">
        <v>248</v>
      </c>
      <c r="B249" t="s">
        <v>283</v>
      </c>
      <c r="C249">
        <v>57</v>
      </c>
      <c r="D249" t="s">
        <v>16</v>
      </c>
      <c r="E249" t="s">
        <v>17</v>
      </c>
      <c r="F249" t="s">
        <v>25</v>
      </c>
      <c r="G249" t="s">
        <v>29</v>
      </c>
      <c r="H249">
        <v>13</v>
      </c>
      <c r="I249">
        <v>1248</v>
      </c>
      <c r="J249">
        <v>5248</v>
      </c>
      <c r="K249">
        <v>96943</v>
      </c>
      <c r="L249" t="s">
        <v>27</v>
      </c>
      <c r="M249">
        <v>44</v>
      </c>
      <c r="N249">
        <v>1</v>
      </c>
      <c r="O249" t="s">
        <v>31</v>
      </c>
    </row>
    <row r="250" spans="1:15" x14ac:dyDescent="0.3">
      <c r="A250">
        <v>249</v>
      </c>
      <c r="B250" t="s">
        <v>284</v>
      </c>
      <c r="C250">
        <v>59</v>
      </c>
      <c r="D250" t="s">
        <v>23</v>
      </c>
      <c r="E250" t="s">
        <v>45</v>
      </c>
      <c r="F250" t="s">
        <v>46</v>
      </c>
      <c r="G250" t="s">
        <v>29</v>
      </c>
      <c r="H250">
        <v>19</v>
      </c>
      <c r="I250">
        <v>1249</v>
      </c>
      <c r="J250">
        <v>5249</v>
      </c>
      <c r="K250">
        <v>116111</v>
      </c>
      <c r="L250" t="s">
        <v>38</v>
      </c>
      <c r="M250">
        <v>68</v>
      </c>
      <c r="N250">
        <v>1</v>
      </c>
      <c r="O250" t="s">
        <v>31</v>
      </c>
    </row>
    <row r="251" spans="1:15" x14ac:dyDescent="0.3">
      <c r="A251">
        <v>250</v>
      </c>
      <c r="B251" t="s">
        <v>285</v>
      </c>
      <c r="C251">
        <v>39</v>
      </c>
      <c r="D251" t="s">
        <v>23</v>
      </c>
      <c r="E251" t="s">
        <v>17</v>
      </c>
      <c r="F251" t="s">
        <v>18</v>
      </c>
      <c r="G251" t="s">
        <v>19</v>
      </c>
      <c r="H251">
        <v>17</v>
      </c>
      <c r="I251">
        <v>1250</v>
      </c>
      <c r="J251">
        <v>5250</v>
      </c>
      <c r="K251">
        <v>98258</v>
      </c>
      <c r="L251" t="s">
        <v>30</v>
      </c>
      <c r="M251">
        <v>82</v>
      </c>
      <c r="N251">
        <v>4</v>
      </c>
      <c r="O251" t="s">
        <v>36</v>
      </c>
    </row>
    <row r="252" spans="1:15" x14ac:dyDescent="0.3">
      <c r="A252">
        <v>251</v>
      </c>
      <c r="B252" t="s">
        <v>286</v>
      </c>
      <c r="C252">
        <v>54</v>
      </c>
      <c r="D252" t="s">
        <v>16</v>
      </c>
      <c r="E252" t="s">
        <v>17</v>
      </c>
      <c r="F252" t="s">
        <v>33</v>
      </c>
      <c r="G252" t="s">
        <v>29</v>
      </c>
      <c r="H252">
        <v>9</v>
      </c>
      <c r="I252">
        <v>1251</v>
      </c>
      <c r="J252">
        <v>5251</v>
      </c>
      <c r="K252">
        <v>32924</v>
      </c>
      <c r="L252" t="s">
        <v>20</v>
      </c>
      <c r="M252">
        <v>15</v>
      </c>
      <c r="N252">
        <v>2</v>
      </c>
      <c r="O252" t="s">
        <v>36</v>
      </c>
    </row>
    <row r="253" spans="1:15" x14ac:dyDescent="0.3">
      <c r="A253">
        <v>252</v>
      </c>
      <c r="B253" t="s">
        <v>287</v>
      </c>
      <c r="C253">
        <v>44</v>
      </c>
      <c r="D253" t="s">
        <v>16</v>
      </c>
      <c r="E253" t="s">
        <v>45</v>
      </c>
      <c r="F253" t="s">
        <v>46</v>
      </c>
      <c r="G253" t="s">
        <v>26</v>
      </c>
      <c r="H253">
        <v>1</v>
      </c>
      <c r="I253">
        <v>1252</v>
      </c>
      <c r="J253">
        <v>5252</v>
      </c>
      <c r="K253">
        <v>89286</v>
      </c>
      <c r="L253" t="s">
        <v>27</v>
      </c>
      <c r="M253">
        <v>51</v>
      </c>
      <c r="N253">
        <v>2</v>
      </c>
      <c r="O253" t="s">
        <v>31</v>
      </c>
    </row>
    <row r="254" spans="1:15" x14ac:dyDescent="0.3">
      <c r="A254">
        <v>253</v>
      </c>
      <c r="B254" t="s">
        <v>288</v>
      </c>
      <c r="C254">
        <v>54</v>
      </c>
      <c r="D254" t="s">
        <v>16</v>
      </c>
      <c r="E254" t="s">
        <v>43</v>
      </c>
      <c r="F254" t="s">
        <v>46</v>
      </c>
      <c r="G254" t="s">
        <v>26</v>
      </c>
      <c r="H254">
        <v>0</v>
      </c>
      <c r="I254">
        <v>1253</v>
      </c>
      <c r="J254">
        <v>5253</v>
      </c>
      <c r="K254">
        <v>113269</v>
      </c>
      <c r="L254" t="s">
        <v>27</v>
      </c>
      <c r="M254">
        <v>13</v>
      </c>
      <c r="N254">
        <v>1</v>
      </c>
      <c r="O254" t="s">
        <v>36</v>
      </c>
    </row>
    <row r="255" spans="1:15" x14ac:dyDescent="0.3">
      <c r="A255">
        <v>254</v>
      </c>
      <c r="B255" t="s">
        <v>289</v>
      </c>
      <c r="C255">
        <v>44</v>
      </c>
      <c r="D255" t="s">
        <v>23</v>
      </c>
      <c r="E255" t="s">
        <v>43</v>
      </c>
      <c r="F255" t="s">
        <v>18</v>
      </c>
      <c r="G255" t="s">
        <v>19</v>
      </c>
      <c r="H255">
        <v>3</v>
      </c>
      <c r="I255">
        <v>1254</v>
      </c>
      <c r="J255">
        <v>5254</v>
      </c>
      <c r="K255">
        <v>94071</v>
      </c>
      <c r="L255" t="s">
        <v>38</v>
      </c>
      <c r="M255">
        <v>83</v>
      </c>
      <c r="N255">
        <v>1</v>
      </c>
      <c r="O255" t="s">
        <v>21</v>
      </c>
    </row>
    <row r="256" spans="1:15" x14ac:dyDescent="0.3">
      <c r="A256">
        <v>255</v>
      </c>
      <c r="B256" t="s">
        <v>290</v>
      </c>
      <c r="C256">
        <v>48</v>
      </c>
      <c r="D256" t="s">
        <v>16</v>
      </c>
      <c r="E256" t="s">
        <v>17</v>
      </c>
      <c r="F256" t="s">
        <v>46</v>
      </c>
      <c r="G256" t="s">
        <v>19</v>
      </c>
      <c r="H256">
        <v>13</v>
      </c>
      <c r="I256">
        <v>1255</v>
      </c>
      <c r="J256">
        <v>5255</v>
      </c>
      <c r="K256">
        <v>77326</v>
      </c>
      <c r="L256" t="s">
        <v>38</v>
      </c>
      <c r="M256">
        <v>49</v>
      </c>
      <c r="N256">
        <v>2</v>
      </c>
      <c r="O256" t="s">
        <v>40</v>
      </c>
    </row>
    <row r="257" spans="1:15" x14ac:dyDescent="0.3">
      <c r="A257">
        <v>256</v>
      </c>
      <c r="B257" t="s">
        <v>291</v>
      </c>
      <c r="C257">
        <v>37</v>
      </c>
      <c r="D257" t="s">
        <v>23</v>
      </c>
      <c r="E257" t="s">
        <v>17</v>
      </c>
      <c r="F257" t="s">
        <v>46</v>
      </c>
      <c r="G257" t="s">
        <v>29</v>
      </c>
      <c r="H257">
        <v>0</v>
      </c>
      <c r="I257">
        <v>1256</v>
      </c>
      <c r="J257">
        <v>5256</v>
      </c>
      <c r="K257">
        <v>110023</v>
      </c>
      <c r="L257" t="s">
        <v>38</v>
      </c>
      <c r="M257">
        <v>70</v>
      </c>
      <c r="N257">
        <v>4</v>
      </c>
      <c r="O257" t="s">
        <v>21</v>
      </c>
    </row>
    <row r="258" spans="1:15" x14ac:dyDescent="0.3">
      <c r="A258">
        <v>257</v>
      </c>
      <c r="B258" t="s">
        <v>292</v>
      </c>
      <c r="C258">
        <v>37</v>
      </c>
      <c r="D258" t="s">
        <v>16</v>
      </c>
      <c r="E258" t="s">
        <v>43</v>
      </c>
      <c r="F258" t="s">
        <v>18</v>
      </c>
      <c r="G258" t="s">
        <v>19</v>
      </c>
      <c r="H258">
        <v>13</v>
      </c>
      <c r="I258">
        <v>1257</v>
      </c>
      <c r="J258">
        <v>5257</v>
      </c>
      <c r="K258">
        <v>50651</v>
      </c>
      <c r="L258" t="s">
        <v>20</v>
      </c>
      <c r="M258">
        <v>56</v>
      </c>
      <c r="N258">
        <v>3</v>
      </c>
      <c r="O258" t="s">
        <v>36</v>
      </c>
    </row>
    <row r="259" spans="1:15" x14ac:dyDescent="0.3">
      <c r="A259">
        <v>258</v>
      </c>
      <c r="B259" t="s">
        <v>293</v>
      </c>
      <c r="C259">
        <v>21</v>
      </c>
      <c r="D259" t="s">
        <v>16</v>
      </c>
      <c r="E259" t="s">
        <v>45</v>
      </c>
      <c r="F259" t="s">
        <v>25</v>
      </c>
      <c r="G259" t="s">
        <v>19</v>
      </c>
      <c r="H259">
        <v>15</v>
      </c>
      <c r="I259">
        <v>1258</v>
      </c>
      <c r="J259">
        <v>5258</v>
      </c>
      <c r="K259">
        <v>90202</v>
      </c>
      <c r="L259" t="s">
        <v>20</v>
      </c>
      <c r="M259">
        <v>76</v>
      </c>
      <c r="N259">
        <v>3</v>
      </c>
      <c r="O259" t="s">
        <v>31</v>
      </c>
    </row>
    <row r="260" spans="1:15" x14ac:dyDescent="0.3">
      <c r="A260">
        <v>259</v>
      </c>
      <c r="B260" t="s">
        <v>294</v>
      </c>
      <c r="C260">
        <v>54</v>
      </c>
      <c r="D260" t="s">
        <v>16</v>
      </c>
      <c r="E260" t="s">
        <v>17</v>
      </c>
      <c r="F260" t="s">
        <v>18</v>
      </c>
      <c r="G260" t="s">
        <v>26</v>
      </c>
      <c r="H260">
        <v>13</v>
      </c>
      <c r="I260">
        <v>1259</v>
      </c>
      <c r="J260">
        <v>5259</v>
      </c>
      <c r="K260">
        <v>68777</v>
      </c>
      <c r="L260" t="s">
        <v>38</v>
      </c>
      <c r="M260">
        <v>51</v>
      </c>
      <c r="N260">
        <v>2</v>
      </c>
      <c r="O260" t="s">
        <v>31</v>
      </c>
    </row>
    <row r="261" spans="1:15" x14ac:dyDescent="0.3">
      <c r="A261">
        <v>260</v>
      </c>
      <c r="B261" t="s">
        <v>295</v>
      </c>
      <c r="C261">
        <v>35</v>
      </c>
      <c r="D261" t="s">
        <v>16</v>
      </c>
      <c r="E261" t="s">
        <v>24</v>
      </c>
      <c r="F261" t="s">
        <v>25</v>
      </c>
      <c r="G261" t="s">
        <v>26</v>
      </c>
      <c r="H261">
        <v>19</v>
      </c>
      <c r="I261">
        <v>1260</v>
      </c>
      <c r="J261">
        <v>5260</v>
      </c>
      <c r="K261">
        <v>36994</v>
      </c>
      <c r="L261" t="s">
        <v>30</v>
      </c>
      <c r="M261">
        <v>37</v>
      </c>
      <c r="N261">
        <v>1</v>
      </c>
      <c r="O261" t="s">
        <v>21</v>
      </c>
    </row>
    <row r="262" spans="1:15" x14ac:dyDescent="0.3">
      <c r="A262">
        <v>261</v>
      </c>
      <c r="B262" t="s">
        <v>296</v>
      </c>
      <c r="C262">
        <v>55</v>
      </c>
      <c r="D262" t="s">
        <v>23</v>
      </c>
      <c r="E262" t="s">
        <v>45</v>
      </c>
      <c r="F262" t="s">
        <v>33</v>
      </c>
      <c r="G262" t="s">
        <v>29</v>
      </c>
      <c r="H262">
        <v>2</v>
      </c>
      <c r="I262">
        <v>1261</v>
      </c>
      <c r="J262">
        <v>5261</v>
      </c>
      <c r="K262">
        <v>87263</v>
      </c>
      <c r="L262" t="s">
        <v>27</v>
      </c>
      <c r="M262">
        <v>17</v>
      </c>
      <c r="N262">
        <v>1</v>
      </c>
      <c r="O262" t="s">
        <v>31</v>
      </c>
    </row>
    <row r="263" spans="1:15" x14ac:dyDescent="0.3">
      <c r="A263">
        <v>262</v>
      </c>
      <c r="B263" t="s">
        <v>297</v>
      </c>
      <c r="C263">
        <v>52</v>
      </c>
      <c r="D263" t="s">
        <v>23</v>
      </c>
      <c r="E263" t="s">
        <v>17</v>
      </c>
      <c r="F263" t="s">
        <v>25</v>
      </c>
      <c r="G263" t="s">
        <v>19</v>
      </c>
      <c r="H263">
        <v>2</v>
      </c>
      <c r="I263">
        <v>1262</v>
      </c>
      <c r="J263">
        <v>5262</v>
      </c>
      <c r="K263">
        <v>79634</v>
      </c>
      <c r="L263" t="s">
        <v>27</v>
      </c>
      <c r="M263">
        <v>58</v>
      </c>
      <c r="N263">
        <v>4</v>
      </c>
      <c r="O263" t="s">
        <v>36</v>
      </c>
    </row>
    <row r="264" spans="1:15" x14ac:dyDescent="0.3">
      <c r="A264">
        <v>263</v>
      </c>
      <c r="B264" t="s">
        <v>298</v>
      </c>
      <c r="C264">
        <v>23</v>
      </c>
      <c r="D264" t="s">
        <v>16</v>
      </c>
      <c r="E264" t="s">
        <v>17</v>
      </c>
      <c r="F264" t="s">
        <v>25</v>
      </c>
      <c r="G264" t="s">
        <v>19</v>
      </c>
      <c r="H264">
        <v>8</v>
      </c>
      <c r="I264">
        <v>1263</v>
      </c>
      <c r="J264">
        <v>5263</v>
      </c>
      <c r="K264">
        <v>30800</v>
      </c>
      <c r="L264" t="s">
        <v>20</v>
      </c>
      <c r="M264">
        <v>87</v>
      </c>
      <c r="N264">
        <v>3</v>
      </c>
      <c r="O264" t="s">
        <v>21</v>
      </c>
    </row>
    <row r="265" spans="1:15" x14ac:dyDescent="0.3">
      <c r="A265">
        <v>264</v>
      </c>
      <c r="B265" t="s">
        <v>299</v>
      </c>
      <c r="C265">
        <v>52</v>
      </c>
      <c r="D265" t="s">
        <v>16</v>
      </c>
      <c r="E265" t="s">
        <v>24</v>
      </c>
      <c r="F265" t="s">
        <v>33</v>
      </c>
      <c r="G265" t="s">
        <v>26</v>
      </c>
      <c r="H265">
        <v>5</v>
      </c>
      <c r="I265">
        <v>1264</v>
      </c>
      <c r="J265">
        <v>5264</v>
      </c>
      <c r="K265">
        <v>57823</v>
      </c>
      <c r="L265" t="s">
        <v>27</v>
      </c>
      <c r="M265">
        <v>90</v>
      </c>
      <c r="N265">
        <v>4</v>
      </c>
      <c r="O265" t="s">
        <v>31</v>
      </c>
    </row>
    <row r="266" spans="1:15" x14ac:dyDescent="0.3">
      <c r="A266">
        <v>265</v>
      </c>
      <c r="B266" t="s">
        <v>300</v>
      </c>
      <c r="C266">
        <v>33</v>
      </c>
      <c r="D266" t="s">
        <v>23</v>
      </c>
      <c r="E266" t="s">
        <v>24</v>
      </c>
      <c r="F266" t="s">
        <v>25</v>
      </c>
      <c r="G266" t="s">
        <v>19</v>
      </c>
      <c r="H266">
        <v>12</v>
      </c>
      <c r="I266">
        <v>1265</v>
      </c>
      <c r="J266">
        <v>5265</v>
      </c>
      <c r="K266">
        <v>83878</v>
      </c>
      <c r="L266" t="s">
        <v>30</v>
      </c>
      <c r="M266">
        <v>29</v>
      </c>
      <c r="N266">
        <v>3</v>
      </c>
      <c r="O266" t="s">
        <v>40</v>
      </c>
    </row>
    <row r="267" spans="1:15" x14ac:dyDescent="0.3">
      <c r="A267">
        <v>266</v>
      </c>
      <c r="B267" t="s">
        <v>301</v>
      </c>
      <c r="C267">
        <v>40</v>
      </c>
      <c r="D267" t="s">
        <v>23</v>
      </c>
      <c r="E267" t="s">
        <v>43</v>
      </c>
      <c r="F267" t="s">
        <v>18</v>
      </c>
      <c r="G267" t="s">
        <v>26</v>
      </c>
      <c r="H267">
        <v>1</v>
      </c>
      <c r="I267">
        <v>1266</v>
      </c>
      <c r="J267">
        <v>5266</v>
      </c>
      <c r="K267">
        <v>38708</v>
      </c>
      <c r="L267" t="s">
        <v>27</v>
      </c>
      <c r="M267">
        <v>33</v>
      </c>
      <c r="N267">
        <v>2</v>
      </c>
      <c r="O267" t="s">
        <v>40</v>
      </c>
    </row>
    <row r="268" spans="1:15" x14ac:dyDescent="0.3">
      <c r="A268">
        <v>267</v>
      </c>
      <c r="B268" t="s">
        <v>302</v>
      </c>
      <c r="C268">
        <v>39</v>
      </c>
      <c r="D268" t="s">
        <v>23</v>
      </c>
      <c r="E268" t="s">
        <v>45</v>
      </c>
      <c r="F268" t="s">
        <v>25</v>
      </c>
      <c r="G268" t="s">
        <v>29</v>
      </c>
      <c r="H268">
        <v>7</v>
      </c>
      <c r="I268">
        <v>1267</v>
      </c>
      <c r="J268">
        <v>5267</v>
      </c>
      <c r="K268">
        <v>32819</v>
      </c>
      <c r="L268" t="s">
        <v>20</v>
      </c>
      <c r="M268">
        <v>60</v>
      </c>
      <c r="N268">
        <v>3</v>
      </c>
      <c r="O268" t="s">
        <v>36</v>
      </c>
    </row>
    <row r="269" spans="1:15" x14ac:dyDescent="0.3">
      <c r="A269">
        <v>268</v>
      </c>
      <c r="B269" t="s">
        <v>303</v>
      </c>
      <c r="C269">
        <v>27</v>
      </c>
      <c r="D269" t="s">
        <v>23</v>
      </c>
      <c r="E269" t="s">
        <v>45</v>
      </c>
      <c r="F269" t="s">
        <v>33</v>
      </c>
      <c r="G269" t="s">
        <v>26</v>
      </c>
      <c r="H269">
        <v>1</v>
      </c>
      <c r="I269">
        <v>1268</v>
      </c>
      <c r="J269">
        <v>5268</v>
      </c>
      <c r="K269">
        <v>94905</v>
      </c>
      <c r="L269" t="s">
        <v>20</v>
      </c>
      <c r="M269">
        <v>91</v>
      </c>
      <c r="N269">
        <v>4</v>
      </c>
      <c r="O269" t="s">
        <v>31</v>
      </c>
    </row>
    <row r="270" spans="1:15" x14ac:dyDescent="0.3">
      <c r="A270">
        <v>269</v>
      </c>
      <c r="B270" t="s">
        <v>304</v>
      </c>
      <c r="C270">
        <v>26</v>
      </c>
      <c r="D270" t="s">
        <v>16</v>
      </c>
      <c r="E270" t="s">
        <v>43</v>
      </c>
      <c r="F270" t="s">
        <v>18</v>
      </c>
      <c r="G270" t="s">
        <v>19</v>
      </c>
      <c r="H270">
        <v>3</v>
      </c>
      <c r="I270">
        <v>1269</v>
      </c>
      <c r="J270">
        <v>5269</v>
      </c>
      <c r="K270">
        <v>83870</v>
      </c>
      <c r="L270" t="s">
        <v>30</v>
      </c>
      <c r="M270">
        <v>89</v>
      </c>
      <c r="N270">
        <v>4</v>
      </c>
      <c r="O270" t="s">
        <v>36</v>
      </c>
    </row>
    <row r="271" spans="1:15" x14ac:dyDescent="0.3">
      <c r="A271">
        <v>270</v>
      </c>
      <c r="B271" t="s">
        <v>305</v>
      </c>
      <c r="C271">
        <v>22</v>
      </c>
      <c r="D271" t="s">
        <v>23</v>
      </c>
      <c r="E271" t="s">
        <v>45</v>
      </c>
      <c r="F271" t="s">
        <v>33</v>
      </c>
      <c r="G271" t="s">
        <v>29</v>
      </c>
      <c r="H271">
        <v>14</v>
      </c>
      <c r="I271">
        <v>1270</v>
      </c>
      <c r="J271">
        <v>5270</v>
      </c>
      <c r="K271">
        <v>29283</v>
      </c>
      <c r="L271" t="s">
        <v>30</v>
      </c>
      <c r="M271">
        <v>55</v>
      </c>
      <c r="N271">
        <v>4</v>
      </c>
      <c r="O271" t="s">
        <v>21</v>
      </c>
    </row>
    <row r="272" spans="1:15" x14ac:dyDescent="0.3">
      <c r="A272">
        <v>271</v>
      </c>
      <c r="B272" t="s">
        <v>306</v>
      </c>
      <c r="C272">
        <v>36</v>
      </c>
      <c r="D272" t="s">
        <v>16</v>
      </c>
      <c r="E272" t="s">
        <v>45</v>
      </c>
      <c r="F272" t="s">
        <v>33</v>
      </c>
      <c r="G272" t="s">
        <v>26</v>
      </c>
      <c r="H272">
        <v>3</v>
      </c>
      <c r="I272">
        <v>1271</v>
      </c>
      <c r="J272">
        <v>5271</v>
      </c>
      <c r="K272">
        <v>50573</v>
      </c>
      <c r="L272" t="s">
        <v>27</v>
      </c>
      <c r="M272">
        <v>10</v>
      </c>
      <c r="N272">
        <v>2</v>
      </c>
      <c r="O272" t="s">
        <v>40</v>
      </c>
    </row>
    <row r="273" spans="1:15" x14ac:dyDescent="0.3">
      <c r="A273">
        <v>272</v>
      </c>
      <c r="B273" t="s">
        <v>307</v>
      </c>
      <c r="C273">
        <v>52</v>
      </c>
      <c r="D273" t="s">
        <v>23</v>
      </c>
      <c r="E273" t="s">
        <v>45</v>
      </c>
      <c r="F273" t="s">
        <v>46</v>
      </c>
      <c r="G273" t="s">
        <v>26</v>
      </c>
      <c r="H273">
        <v>12</v>
      </c>
      <c r="I273">
        <v>1272</v>
      </c>
      <c r="J273">
        <v>5272</v>
      </c>
      <c r="K273">
        <v>98707</v>
      </c>
      <c r="L273" t="s">
        <v>27</v>
      </c>
      <c r="M273">
        <v>47</v>
      </c>
      <c r="N273">
        <v>3</v>
      </c>
      <c r="O273" t="s">
        <v>21</v>
      </c>
    </row>
    <row r="274" spans="1:15" x14ac:dyDescent="0.3">
      <c r="A274">
        <v>273</v>
      </c>
      <c r="B274" t="s">
        <v>308</v>
      </c>
      <c r="C274">
        <v>31</v>
      </c>
      <c r="D274" t="s">
        <v>23</v>
      </c>
      <c r="E274" t="s">
        <v>45</v>
      </c>
      <c r="F274" t="s">
        <v>46</v>
      </c>
      <c r="G274" t="s">
        <v>29</v>
      </c>
      <c r="H274">
        <v>11</v>
      </c>
      <c r="I274">
        <v>1273</v>
      </c>
      <c r="J274">
        <v>5273</v>
      </c>
      <c r="K274">
        <v>50933</v>
      </c>
      <c r="L274" t="s">
        <v>20</v>
      </c>
      <c r="M274">
        <v>23</v>
      </c>
      <c r="N274">
        <v>3</v>
      </c>
      <c r="O274" t="s">
        <v>31</v>
      </c>
    </row>
    <row r="275" spans="1:15" x14ac:dyDescent="0.3">
      <c r="A275">
        <v>274</v>
      </c>
      <c r="B275" t="s">
        <v>309</v>
      </c>
      <c r="C275">
        <v>41</v>
      </c>
      <c r="D275" t="s">
        <v>23</v>
      </c>
      <c r="E275" t="s">
        <v>45</v>
      </c>
      <c r="F275" t="s">
        <v>33</v>
      </c>
      <c r="G275" t="s">
        <v>29</v>
      </c>
      <c r="H275">
        <v>12</v>
      </c>
      <c r="I275">
        <v>1274</v>
      </c>
      <c r="J275">
        <v>5274</v>
      </c>
      <c r="K275">
        <v>25774</v>
      </c>
      <c r="L275" t="s">
        <v>30</v>
      </c>
      <c r="M275">
        <v>85</v>
      </c>
      <c r="N275">
        <v>4</v>
      </c>
      <c r="O275" t="s">
        <v>36</v>
      </c>
    </row>
    <row r="276" spans="1:15" x14ac:dyDescent="0.3">
      <c r="A276">
        <v>275</v>
      </c>
      <c r="B276" t="s">
        <v>310</v>
      </c>
      <c r="C276">
        <v>41</v>
      </c>
      <c r="D276" t="s">
        <v>23</v>
      </c>
      <c r="E276" t="s">
        <v>24</v>
      </c>
      <c r="F276" t="s">
        <v>33</v>
      </c>
      <c r="G276" t="s">
        <v>26</v>
      </c>
      <c r="H276">
        <v>13</v>
      </c>
      <c r="I276">
        <v>1275</v>
      </c>
      <c r="J276">
        <v>5275</v>
      </c>
      <c r="K276">
        <v>92055</v>
      </c>
      <c r="L276" t="s">
        <v>30</v>
      </c>
      <c r="M276">
        <v>21</v>
      </c>
      <c r="N276">
        <v>3</v>
      </c>
      <c r="O276" t="s">
        <v>36</v>
      </c>
    </row>
    <row r="277" spans="1:15" x14ac:dyDescent="0.3">
      <c r="A277">
        <v>276</v>
      </c>
      <c r="B277" t="s">
        <v>311</v>
      </c>
      <c r="C277">
        <v>49</v>
      </c>
      <c r="D277" t="s">
        <v>23</v>
      </c>
      <c r="E277" t="s">
        <v>45</v>
      </c>
      <c r="F277" t="s">
        <v>33</v>
      </c>
      <c r="G277" t="s">
        <v>19</v>
      </c>
      <c r="H277">
        <v>19</v>
      </c>
      <c r="I277">
        <v>1276</v>
      </c>
      <c r="J277">
        <v>5276</v>
      </c>
      <c r="K277">
        <v>30983</v>
      </c>
      <c r="L277" t="s">
        <v>30</v>
      </c>
      <c r="M277">
        <v>13</v>
      </c>
      <c r="N277">
        <v>1</v>
      </c>
      <c r="O277" t="s">
        <v>36</v>
      </c>
    </row>
    <row r="278" spans="1:15" x14ac:dyDescent="0.3">
      <c r="A278">
        <v>277</v>
      </c>
      <c r="B278" t="s">
        <v>312</v>
      </c>
      <c r="C278">
        <v>57</v>
      </c>
      <c r="D278" t="s">
        <v>16</v>
      </c>
      <c r="E278" t="s">
        <v>24</v>
      </c>
      <c r="F278" t="s">
        <v>46</v>
      </c>
      <c r="G278" t="s">
        <v>26</v>
      </c>
      <c r="H278">
        <v>17</v>
      </c>
      <c r="I278">
        <v>1277</v>
      </c>
      <c r="J278">
        <v>5277</v>
      </c>
      <c r="K278">
        <v>116468</v>
      </c>
      <c r="L278" t="s">
        <v>27</v>
      </c>
      <c r="M278">
        <v>33</v>
      </c>
      <c r="N278">
        <v>1</v>
      </c>
      <c r="O278" t="s">
        <v>21</v>
      </c>
    </row>
    <row r="279" spans="1:15" x14ac:dyDescent="0.3">
      <c r="A279">
        <v>278</v>
      </c>
      <c r="B279" t="s">
        <v>313</v>
      </c>
      <c r="C279">
        <v>57</v>
      </c>
      <c r="D279" t="s">
        <v>16</v>
      </c>
      <c r="E279" t="s">
        <v>45</v>
      </c>
      <c r="F279" t="s">
        <v>46</v>
      </c>
      <c r="G279" t="s">
        <v>29</v>
      </c>
      <c r="H279">
        <v>5</v>
      </c>
      <c r="I279">
        <v>1278</v>
      </c>
      <c r="J279">
        <v>5278</v>
      </c>
      <c r="K279">
        <v>116334</v>
      </c>
      <c r="L279" t="s">
        <v>30</v>
      </c>
      <c r="M279">
        <v>24</v>
      </c>
      <c r="N279">
        <v>1</v>
      </c>
      <c r="O279" t="s">
        <v>40</v>
      </c>
    </row>
    <row r="280" spans="1:15" x14ac:dyDescent="0.3">
      <c r="A280">
        <v>279</v>
      </c>
      <c r="B280" t="s">
        <v>314</v>
      </c>
      <c r="C280">
        <v>27</v>
      </c>
      <c r="D280" t="s">
        <v>23</v>
      </c>
      <c r="E280" t="s">
        <v>43</v>
      </c>
      <c r="F280" t="s">
        <v>25</v>
      </c>
      <c r="G280" t="s">
        <v>26</v>
      </c>
      <c r="H280">
        <v>10</v>
      </c>
      <c r="I280">
        <v>1279</v>
      </c>
      <c r="J280">
        <v>5279</v>
      </c>
      <c r="K280">
        <v>38133</v>
      </c>
      <c r="L280" t="s">
        <v>20</v>
      </c>
      <c r="M280">
        <v>11</v>
      </c>
      <c r="N280">
        <v>3</v>
      </c>
      <c r="O280" t="s">
        <v>21</v>
      </c>
    </row>
    <row r="281" spans="1:15" x14ac:dyDescent="0.3">
      <c r="A281">
        <v>280</v>
      </c>
      <c r="B281" t="s">
        <v>315</v>
      </c>
      <c r="C281">
        <v>46</v>
      </c>
      <c r="D281" t="s">
        <v>23</v>
      </c>
      <c r="E281" t="s">
        <v>17</v>
      </c>
      <c r="F281" t="s">
        <v>25</v>
      </c>
      <c r="G281" t="s">
        <v>29</v>
      </c>
      <c r="H281">
        <v>1</v>
      </c>
      <c r="I281">
        <v>1280</v>
      </c>
      <c r="J281">
        <v>5280</v>
      </c>
      <c r="K281">
        <v>34939</v>
      </c>
      <c r="L281" t="s">
        <v>20</v>
      </c>
      <c r="M281">
        <v>17</v>
      </c>
      <c r="N281">
        <v>2</v>
      </c>
      <c r="O281" t="s">
        <v>21</v>
      </c>
    </row>
    <row r="282" spans="1:15" x14ac:dyDescent="0.3">
      <c r="A282">
        <v>281</v>
      </c>
      <c r="B282" t="s">
        <v>316</v>
      </c>
      <c r="C282">
        <v>46</v>
      </c>
      <c r="D282" t="s">
        <v>16</v>
      </c>
      <c r="E282" t="s">
        <v>24</v>
      </c>
      <c r="F282" t="s">
        <v>33</v>
      </c>
      <c r="G282" t="s">
        <v>29</v>
      </c>
      <c r="H282">
        <v>18</v>
      </c>
      <c r="I282">
        <v>1281</v>
      </c>
      <c r="J282">
        <v>5281</v>
      </c>
      <c r="K282">
        <v>20781</v>
      </c>
      <c r="L282" t="s">
        <v>27</v>
      </c>
      <c r="M282">
        <v>68</v>
      </c>
      <c r="N282">
        <v>2</v>
      </c>
      <c r="O282" t="s">
        <v>31</v>
      </c>
    </row>
    <row r="283" spans="1:15" x14ac:dyDescent="0.3">
      <c r="A283">
        <v>282</v>
      </c>
      <c r="B283" t="s">
        <v>317</v>
      </c>
      <c r="C283">
        <v>53</v>
      </c>
      <c r="D283" t="s">
        <v>23</v>
      </c>
      <c r="E283" t="s">
        <v>45</v>
      </c>
      <c r="F283" t="s">
        <v>18</v>
      </c>
      <c r="G283" t="s">
        <v>19</v>
      </c>
      <c r="H283">
        <v>18</v>
      </c>
      <c r="I283">
        <v>1282</v>
      </c>
      <c r="J283">
        <v>5282</v>
      </c>
      <c r="K283">
        <v>76700</v>
      </c>
      <c r="L283" t="s">
        <v>38</v>
      </c>
      <c r="M283">
        <v>47</v>
      </c>
      <c r="N283">
        <v>2</v>
      </c>
      <c r="O283" t="s">
        <v>31</v>
      </c>
    </row>
    <row r="284" spans="1:15" x14ac:dyDescent="0.3">
      <c r="A284">
        <v>283</v>
      </c>
      <c r="B284" t="s">
        <v>318</v>
      </c>
      <c r="C284">
        <v>40</v>
      </c>
      <c r="D284" t="s">
        <v>23</v>
      </c>
      <c r="E284" t="s">
        <v>43</v>
      </c>
      <c r="F284" t="s">
        <v>18</v>
      </c>
      <c r="G284" t="s">
        <v>29</v>
      </c>
      <c r="H284">
        <v>4</v>
      </c>
      <c r="I284">
        <v>1283</v>
      </c>
      <c r="J284">
        <v>5283</v>
      </c>
      <c r="K284">
        <v>47624</v>
      </c>
      <c r="L284" t="s">
        <v>27</v>
      </c>
      <c r="M284">
        <v>25</v>
      </c>
      <c r="N284">
        <v>2</v>
      </c>
      <c r="O284" t="s">
        <v>31</v>
      </c>
    </row>
    <row r="285" spans="1:15" x14ac:dyDescent="0.3">
      <c r="A285">
        <v>284</v>
      </c>
      <c r="B285" t="s">
        <v>319</v>
      </c>
      <c r="C285">
        <v>49</v>
      </c>
      <c r="D285" t="s">
        <v>16</v>
      </c>
      <c r="E285" t="s">
        <v>17</v>
      </c>
      <c r="F285" t="s">
        <v>46</v>
      </c>
      <c r="G285" t="s">
        <v>29</v>
      </c>
      <c r="H285">
        <v>18</v>
      </c>
      <c r="I285">
        <v>1284</v>
      </c>
      <c r="J285">
        <v>5284</v>
      </c>
      <c r="K285">
        <v>26823</v>
      </c>
      <c r="L285" t="s">
        <v>38</v>
      </c>
      <c r="M285">
        <v>94</v>
      </c>
      <c r="N285">
        <v>1</v>
      </c>
      <c r="O285" t="s">
        <v>40</v>
      </c>
    </row>
    <row r="286" spans="1:15" x14ac:dyDescent="0.3">
      <c r="A286">
        <v>285</v>
      </c>
      <c r="B286" t="s">
        <v>320</v>
      </c>
      <c r="C286">
        <v>52</v>
      </c>
      <c r="D286" t="s">
        <v>23</v>
      </c>
      <c r="E286" t="s">
        <v>24</v>
      </c>
      <c r="F286" t="s">
        <v>46</v>
      </c>
      <c r="G286" t="s">
        <v>19</v>
      </c>
      <c r="H286">
        <v>1</v>
      </c>
      <c r="I286">
        <v>1285</v>
      </c>
      <c r="J286">
        <v>5285</v>
      </c>
      <c r="K286">
        <v>38489</v>
      </c>
      <c r="L286" t="s">
        <v>30</v>
      </c>
      <c r="M286">
        <v>73</v>
      </c>
      <c r="N286">
        <v>1</v>
      </c>
      <c r="O286" t="s">
        <v>40</v>
      </c>
    </row>
    <row r="287" spans="1:15" x14ac:dyDescent="0.3">
      <c r="A287">
        <v>286</v>
      </c>
      <c r="B287" t="s">
        <v>321</v>
      </c>
      <c r="C287">
        <v>47</v>
      </c>
      <c r="D287" t="s">
        <v>23</v>
      </c>
      <c r="E287" t="s">
        <v>17</v>
      </c>
      <c r="F287" t="s">
        <v>46</v>
      </c>
      <c r="G287" t="s">
        <v>29</v>
      </c>
      <c r="H287">
        <v>9</v>
      </c>
      <c r="I287">
        <v>1286</v>
      </c>
      <c r="J287">
        <v>5286</v>
      </c>
      <c r="K287">
        <v>59961</v>
      </c>
      <c r="L287" t="s">
        <v>27</v>
      </c>
      <c r="M287">
        <v>21</v>
      </c>
      <c r="N287">
        <v>4</v>
      </c>
      <c r="O287" t="s">
        <v>31</v>
      </c>
    </row>
    <row r="288" spans="1:15" x14ac:dyDescent="0.3">
      <c r="A288">
        <v>287</v>
      </c>
      <c r="B288" t="s">
        <v>322</v>
      </c>
      <c r="C288">
        <v>52</v>
      </c>
      <c r="D288" t="s">
        <v>16</v>
      </c>
      <c r="E288" t="s">
        <v>43</v>
      </c>
      <c r="F288" t="s">
        <v>33</v>
      </c>
      <c r="G288" t="s">
        <v>19</v>
      </c>
      <c r="H288">
        <v>1</v>
      </c>
      <c r="I288">
        <v>1287</v>
      </c>
      <c r="J288">
        <v>5287</v>
      </c>
      <c r="K288">
        <v>49118</v>
      </c>
      <c r="L288" t="s">
        <v>20</v>
      </c>
      <c r="M288">
        <v>84</v>
      </c>
      <c r="N288">
        <v>3</v>
      </c>
      <c r="O288" t="s">
        <v>31</v>
      </c>
    </row>
    <row r="289" spans="1:15" x14ac:dyDescent="0.3">
      <c r="A289">
        <v>288</v>
      </c>
      <c r="B289" t="s">
        <v>323</v>
      </c>
      <c r="C289">
        <v>24</v>
      </c>
      <c r="D289" t="s">
        <v>16</v>
      </c>
      <c r="E289" t="s">
        <v>24</v>
      </c>
      <c r="F289" t="s">
        <v>18</v>
      </c>
      <c r="G289" t="s">
        <v>19</v>
      </c>
      <c r="H289">
        <v>10</v>
      </c>
      <c r="I289">
        <v>1288</v>
      </c>
      <c r="J289">
        <v>5288</v>
      </c>
      <c r="K289">
        <v>101816</v>
      </c>
      <c r="L289" t="s">
        <v>30</v>
      </c>
      <c r="M289">
        <v>83</v>
      </c>
      <c r="N289">
        <v>3</v>
      </c>
      <c r="O289" t="s">
        <v>40</v>
      </c>
    </row>
    <row r="290" spans="1:15" x14ac:dyDescent="0.3">
      <c r="A290">
        <v>289</v>
      </c>
      <c r="B290" t="s">
        <v>324</v>
      </c>
      <c r="C290">
        <v>38</v>
      </c>
      <c r="D290" t="s">
        <v>16</v>
      </c>
      <c r="E290" t="s">
        <v>17</v>
      </c>
      <c r="F290" t="s">
        <v>25</v>
      </c>
      <c r="G290" t="s">
        <v>29</v>
      </c>
      <c r="H290">
        <v>17</v>
      </c>
      <c r="I290">
        <v>1289</v>
      </c>
      <c r="J290">
        <v>5289</v>
      </c>
      <c r="K290">
        <v>42263</v>
      </c>
      <c r="L290" t="s">
        <v>20</v>
      </c>
      <c r="M290">
        <v>83</v>
      </c>
      <c r="N290">
        <v>2</v>
      </c>
      <c r="O290" t="s">
        <v>36</v>
      </c>
    </row>
    <row r="291" spans="1:15" x14ac:dyDescent="0.3">
      <c r="A291">
        <v>290</v>
      </c>
      <c r="B291" t="s">
        <v>325</v>
      </c>
      <c r="C291">
        <v>23</v>
      </c>
      <c r="D291" t="s">
        <v>23</v>
      </c>
      <c r="E291" t="s">
        <v>45</v>
      </c>
      <c r="F291" t="s">
        <v>33</v>
      </c>
      <c r="G291" t="s">
        <v>29</v>
      </c>
      <c r="H291">
        <v>14</v>
      </c>
      <c r="I291">
        <v>1290</v>
      </c>
      <c r="J291">
        <v>5290</v>
      </c>
      <c r="K291">
        <v>33565</v>
      </c>
      <c r="L291" t="s">
        <v>30</v>
      </c>
      <c r="M291">
        <v>12</v>
      </c>
      <c r="N291">
        <v>1</v>
      </c>
      <c r="O291" t="s">
        <v>40</v>
      </c>
    </row>
    <row r="292" spans="1:15" x14ac:dyDescent="0.3">
      <c r="A292">
        <v>291</v>
      </c>
      <c r="B292" t="s">
        <v>326</v>
      </c>
      <c r="C292">
        <v>54</v>
      </c>
      <c r="D292" t="s">
        <v>16</v>
      </c>
      <c r="E292" t="s">
        <v>24</v>
      </c>
      <c r="F292" t="s">
        <v>25</v>
      </c>
      <c r="G292" t="s">
        <v>26</v>
      </c>
      <c r="H292">
        <v>8</v>
      </c>
      <c r="I292">
        <v>1291</v>
      </c>
      <c r="J292">
        <v>5291</v>
      </c>
      <c r="K292">
        <v>40354</v>
      </c>
      <c r="L292" t="s">
        <v>27</v>
      </c>
      <c r="M292">
        <v>37</v>
      </c>
      <c r="N292">
        <v>2</v>
      </c>
      <c r="O292" t="s">
        <v>40</v>
      </c>
    </row>
    <row r="293" spans="1:15" x14ac:dyDescent="0.3">
      <c r="A293">
        <v>292</v>
      </c>
      <c r="B293" t="s">
        <v>327</v>
      </c>
      <c r="C293">
        <v>36</v>
      </c>
      <c r="D293" t="s">
        <v>16</v>
      </c>
      <c r="E293" t="s">
        <v>17</v>
      </c>
      <c r="F293" t="s">
        <v>25</v>
      </c>
      <c r="G293" t="s">
        <v>19</v>
      </c>
      <c r="H293">
        <v>18</v>
      </c>
      <c r="I293">
        <v>1292</v>
      </c>
      <c r="J293">
        <v>5292</v>
      </c>
      <c r="K293">
        <v>62951</v>
      </c>
      <c r="L293" t="s">
        <v>38</v>
      </c>
      <c r="M293">
        <v>42</v>
      </c>
      <c r="N293">
        <v>4</v>
      </c>
      <c r="O293" t="s">
        <v>40</v>
      </c>
    </row>
    <row r="294" spans="1:15" x14ac:dyDescent="0.3">
      <c r="A294">
        <v>293</v>
      </c>
      <c r="B294" t="s">
        <v>328</v>
      </c>
      <c r="C294">
        <v>47</v>
      </c>
      <c r="D294" t="s">
        <v>16</v>
      </c>
      <c r="E294" t="s">
        <v>43</v>
      </c>
      <c r="F294" t="s">
        <v>33</v>
      </c>
      <c r="G294" t="s">
        <v>26</v>
      </c>
      <c r="H294">
        <v>8</v>
      </c>
      <c r="I294">
        <v>1293</v>
      </c>
      <c r="J294">
        <v>5293</v>
      </c>
      <c r="K294">
        <v>111179</v>
      </c>
      <c r="L294" t="s">
        <v>30</v>
      </c>
      <c r="M294">
        <v>17</v>
      </c>
      <c r="N294">
        <v>3</v>
      </c>
      <c r="O294" t="s">
        <v>31</v>
      </c>
    </row>
    <row r="295" spans="1:15" x14ac:dyDescent="0.3">
      <c r="A295">
        <v>294</v>
      </c>
      <c r="B295" t="s">
        <v>329</v>
      </c>
      <c r="C295">
        <v>49</v>
      </c>
      <c r="D295" t="s">
        <v>16</v>
      </c>
      <c r="E295" t="s">
        <v>43</v>
      </c>
      <c r="F295" t="s">
        <v>25</v>
      </c>
      <c r="G295" t="s">
        <v>29</v>
      </c>
      <c r="H295">
        <v>2</v>
      </c>
      <c r="I295">
        <v>1294</v>
      </c>
      <c r="J295">
        <v>5294</v>
      </c>
      <c r="K295">
        <v>43648</v>
      </c>
      <c r="L295" t="s">
        <v>38</v>
      </c>
      <c r="M295">
        <v>48</v>
      </c>
      <c r="N295">
        <v>3</v>
      </c>
      <c r="O295" t="s">
        <v>36</v>
      </c>
    </row>
    <row r="296" spans="1:15" x14ac:dyDescent="0.3">
      <c r="A296">
        <v>295</v>
      </c>
      <c r="B296" t="s">
        <v>330</v>
      </c>
      <c r="C296">
        <v>48</v>
      </c>
      <c r="D296" t="s">
        <v>16</v>
      </c>
      <c r="E296" t="s">
        <v>24</v>
      </c>
      <c r="F296" t="s">
        <v>18</v>
      </c>
      <c r="G296" t="s">
        <v>26</v>
      </c>
      <c r="H296">
        <v>8</v>
      </c>
      <c r="I296">
        <v>1295</v>
      </c>
      <c r="J296">
        <v>5295</v>
      </c>
      <c r="K296">
        <v>70729</v>
      </c>
      <c r="L296" t="s">
        <v>30</v>
      </c>
      <c r="M296">
        <v>28</v>
      </c>
      <c r="N296">
        <v>2</v>
      </c>
      <c r="O296" t="s">
        <v>40</v>
      </c>
    </row>
    <row r="297" spans="1:15" x14ac:dyDescent="0.3">
      <c r="A297">
        <v>296</v>
      </c>
      <c r="B297" t="s">
        <v>331</v>
      </c>
      <c r="C297">
        <v>25</v>
      </c>
      <c r="D297" t="s">
        <v>16</v>
      </c>
      <c r="E297" t="s">
        <v>17</v>
      </c>
      <c r="F297" t="s">
        <v>25</v>
      </c>
      <c r="G297" t="s">
        <v>19</v>
      </c>
      <c r="H297">
        <v>13</v>
      </c>
      <c r="I297">
        <v>1296</v>
      </c>
      <c r="J297">
        <v>5296</v>
      </c>
      <c r="K297">
        <v>61971</v>
      </c>
      <c r="L297" t="s">
        <v>20</v>
      </c>
      <c r="M297">
        <v>41</v>
      </c>
      <c r="N297">
        <v>4</v>
      </c>
      <c r="O297" t="s">
        <v>31</v>
      </c>
    </row>
    <row r="298" spans="1:15" x14ac:dyDescent="0.3">
      <c r="A298">
        <v>297</v>
      </c>
      <c r="B298" t="s">
        <v>332</v>
      </c>
      <c r="C298">
        <v>54</v>
      </c>
      <c r="D298" t="s">
        <v>23</v>
      </c>
      <c r="E298" t="s">
        <v>24</v>
      </c>
      <c r="F298" t="s">
        <v>18</v>
      </c>
      <c r="G298" t="s">
        <v>26</v>
      </c>
      <c r="H298">
        <v>18</v>
      </c>
      <c r="I298">
        <v>1297</v>
      </c>
      <c r="J298">
        <v>5297</v>
      </c>
      <c r="K298">
        <v>38658</v>
      </c>
      <c r="L298" t="s">
        <v>20</v>
      </c>
      <c r="M298">
        <v>99</v>
      </c>
      <c r="N298">
        <v>3</v>
      </c>
      <c r="O298" t="s">
        <v>21</v>
      </c>
    </row>
    <row r="299" spans="1:15" x14ac:dyDescent="0.3">
      <c r="A299">
        <v>298</v>
      </c>
      <c r="B299" t="s">
        <v>333</v>
      </c>
      <c r="C299">
        <v>56</v>
      </c>
      <c r="D299" t="s">
        <v>23</v>
      </c>
      <c r="E299" t="s">
        <v>24</v>
      </c>
      <c r="F299" t="s">
        <v>18</v>
      </c>
      <c r="G299" t="s">
        <v>19</v>
      </c>
      <c r="H299">
        <v>6</v>
      </c>
      <c r="I299">
        <v>1298</v>
      </c>
      <c r="J299">
        <v>5298</v>
      </c>
      <c r="K299">
        <v>41253</v>
      </c>
      <c r="L299" t="s">
        <v>30</v>
      </c>
      <c r="M299">
        <v>47</v>
      </c>
      <c r="N299">
        <v>4</v>
      </c>
      <c r="O299" t="s">
        <v>21</v>
      </c>
    </row>
    <row r="300" spans="1:15" x14ac:dyDescent="0.3">
      <c r="A300">
        <v>299</v>
      </c>
      <c r="B300" t="s">
        <v>334</v>
      </c>
      <c r="C300">
        <v>43</v>
      </c>
      <c r="D300" t="s">
        <v>16</v>
      </c>
      <c r="E300" t="s">
        <v>17</v>
      </c>
      <c r="F300" t="s">
        <v>18</v>
      </c>
      <c r="G300" t="s">
        <v>29</v>
      </c>
      <c r="H300">
        <v>15</v>
      </c>
      <c r="I300">
        <v>1299</v>
      </c>
      <c r="J300">
        <v>5299</v>
      </c>
      <c r="K300">
        <v>84166</v>
      </c>
      <c r="L300" t="s">
        <v>38</v>
      </c>
      <c r="M300">
        <v>18</v>
      </c>
      <c r="N300">
        <v>4</v>
      </c>
      <c r="O300" t="s">
        <v>40</v>
      </c>
    </row>
    <row r="301" spans="1:15" x14ac:dyDescent="0.3">
      <c r="A301">
        <v>300</v>
      </c>
      <c r="B301" t="s">
        <v>335</v>
      </c>
      <c r="C301">
        <v>48</v>
      </c>
      <c r="D301" t="s">
        <v>16</v>
      </c>
      <c r="E301" t="s">
        <v>17</v>
      </c>
      <c r="F301" t="s">
        <v>46</v>
      </c>
      <c r="G301" t="s">
        <v>29</v>
      </c>
      <c r="H301">
        <v>15</v>
      </c>
      <c r="I301">
        <v>1300</v>
      </c>
      <c r="J301">
        <v>5300</v>
      </c>
      <c r="K301">
        <v>68563</v>
      </c>
      <c r="L301" t="s">
        <v>27</v>
      </c>
      <c r="M301">
        <v>78</v>
      </c>
      <c r="N301">
        <v>2</v>
      </c>
      <c r="O301" t="s">
        <v>21</v>
      </c>
    </row>
    <row r="302" spans="1:15" x14ac:dyDescent="0.3">
      <c r="A302">
        <v>301</v>
      </c>
      <c r="B302" t="s">
        <v>336</v>
      </c>
      <c r="C302">
        <v>50</v>
      </c>
      <c r="D302" t="s">
        <v>16</v>
      </c>
      <c r="E302" t="s">
        <v>45</v>
      </c>
      <c r="F302" t="s">
        <v>25</v>
      </c>
      <c r="G302" t="s">
        <v>19</v>
      </c>
      <c r="H302">
        <v>0</v>
      </c>
      <c r="I302">
        <v>1301</v>
      </c>
      <c r="J302">
        <v>5301</v>
      </c>
      <c r="K302">
        <v>46390</v>
      </c>
      <c r="L302" t="s">
        <v>27</v>
      </c>
      <c r="M302">
        <v>99</v>
      </c>
      <c r="N302">
        <v>1</v>
      </c>
      <c r="O302" t="s">
        <v>36</v>
      </c>
    </row>
    <row r="303" spans="1:15" x14ac:dyDescent="0.3">
      <c r="A303">
        <v>302</v>
      </c>
      <c r="B303" t="s">
        <v>337</v>
      </c>
      <c r="C303">
        <v>54</v>
      </c>
      <c r="D303" t="s">
        <v>23</v>
      </c>
      <c r="E303" t="s">
        <v>17</v>
      </c>
      <c r="F303" t="s">
        <v>33</v>
      </c>
      <c r="G303" t="s">
        <v>29</v>
      </c>
      <c r="H303">
        <v>3</v>
      </c>
      <c r="I303">
        <v>1302</v>
      </c>
      <c r="J303">
        <v>5302</v>
      </c>
      <c r="K303">
        <v>108664</v>
      </c>
      <c r="L303" t="s">
        <v>20</v>
      </c>
      <c r="M303">
        <v>71</v>
      </c>
      <c r="N303">
        <v>2</v>
      </c>
      <c r="O303" t="s">
        <v>21</v>
      </c>
    </row>
    <row r="304" spans="1:15" x14ac:dyDescent="0.3">
      <c r="A304">
        <v>303</v>
      </c>
      <c r="B304" t="s">
        <v>338</v>
      </c>
      <c r="C304">
        <v>52</v>
      </c>
      <c r="D304" t="s">
        <v>23</v>
      </c>
      <c r="E304" t="s">
        <v>43</v>
      </c>
      <c r="F304" t="s">
        <v>33</v>
      </c>
      <c r="G304" t="s">
        <v>29</v>
      </c>
      <c r="H304">
        <v>3</v>
      </c>
      <c r="I304">
        <v>1303</v>
      </c>
      <c r="J304">
        <v>5303</v>
      </c>
      <c r="K304">
        <v>71578</v>
      </c>
      <c r="L304" t="s">
        <v>27</v>
      </c>
      <c r="M304">
        <v>13</v>
      </c>
      <c r="N304">
        <v>1</v>
      </c>
      <c r="O304" t="s">
        <v>21</v>
      </c>
    </row>
    <row r="305" spans="1:15" x14ac:dyDescent="0.3">
      <c r="A305">
        <v>304</v>
      </c>
      <c r="B305" t="s">
        <v>339</v>
      </c>
      <c r="C305">
        <v>40</v>
      </c>
      <c r="D305" t="s">
        <v>23</v>
      </c>
      <c r="E305" t="s">
        <v>24</v>
      </c>
      <c r="F305" t="s">
        <v>25</v>
      </c>
      <c r="G305" t="s">
        <v>29</v>
      </c>
      <c r="H305">
        <v>6</v>
      </c>
      <c r="I305">
        <v>1304</v>
      </c>
      <c r="J305">
        <v>5304</v>
      </c>
      <c r="K305">
        <v>99025</v>
      </c>
      <c r="L305" t="s">
        <v>20</v>
      </c>
      <c r="M305">
        <v>82</v>
      </c>
      <c r="N305">
        <v>4</v>
      </c>
      <c r="O305" t="s">
        <v>36</v>
      </c>
    </row>
    <row r="306" spans="1:15" x14ac:dyDescent="0.3">
      <c r="A306">
        <v>305</v>
      </c>
      <c r="B306" t="s">
        <v>340</v>
      </c>
      <c r="C306">
        <v>51</v>
      </c>
      <c r="D306" t="s">
        <v>23</v>
      </c>
      <c r="E306" t="s">
        <v>24</v>
      </c>
      <c r="F306" t="s">
        <v>46</v>
      </c>
      <c r="G306" t="s">
        <v>29</v>
      </c>
      <c r="H306">
        <v>7</v>
      </c>
      <c r="I306">
        <v>1305</v>
      </c>
      <c r="J306">
        <v>5305</v>
      </c>
      <c r="K306">
        <v>52658</v>
      </c>
      <c r="L306" t="s">
        <v>27</v>
      </c>
      <c r="M306">
        <v>13</v>
      </c>
      <c r="N306">
        <v>1</v>
      </c>
      <c r="O306" t="s">
        <v>40</v>
      </c>
    </row>
    <row r="307" spans="1:15" x14ac:dyDescent="0.3">
      <c r="A307">
        <v>306</v>
      </c>
      <c r="B307" t="s">
        <v>341</v>
      </c>
      <c r="C307">
        <v>42</v>
      </c>
      <c r="D307" t="s">
        <v>23</v>
      </c>
      <c r="E307" t="s">
        <v>43</v>
      </c>
      <c r="F307" t="s">
        <v>46</v>
      </c>
      <c r="G307" t="s">
        <v>19</v>
      </c>
      <c r="H307">
        <v>16</v>
      </c>
      <c r="I307">
        <v>1306</v>
      </c>
      <c r="J307">
        <v>5306</v>
      </c>
      <c r="K307">
        <v>26852</v>
      </c>
      <c r="L307" t="s">
        <v>30</v>
      </c>
      <c r="M307">
        <v>31</v>
      </c>
      <c r="N307">
        <v>4</v>
      </c>
      <c r="O307" t="s">
        <v>40</v>
      </c>
    </row>
    <row r="308" spans="1:15" x14ac:dyDescent="0.3">
      <c r="A308">
        <v>307</v>
      </c>
      <c r="B308" t="s">
        <v>342</v>
      </c>
      <c r="C308">
        <v>52</v>
      </c>
      <c r="D308" t="s">
        <v>23</v>
      </c>
      <c r="E308" t="s">
        <v>17</v>
      </c>
      <c r="F308" t="s">
        <v>18</v>
      </c>
      <c r="G308" t="s">
        <v>26</v>
      </c>
      <c r="H308">
        <v>4</v>
      </c>
      <c r="I308">
        <v>1307</v>
      </c>
      <c r="J308">
        <v>5307</v>
      </c>
      <c r="K308">
        <v>114986</v>
      </c>
      <c r="L308" t="s">
        <v>20</v>
      </c>
      <c r="M308">
        <v>2</v>
      </c>
      <c r="N308">
        <v>3</v>
      </c>
      <c r="O308" t="s">
        <v>36</v>
      </c>
    </row>
    <row r="309" spans="1:15" x14ac:dyDescent="0.3">
      <c r="A309">
        <v>308</v>
      </c>
      <c r="B309" t="s">
        <v>343</v>
      </c>
      <c r="C309">
        <v>22</v>
      </c>
      <c r="D309" t="s">
        <v>23</v>
      </c>
      <c r="E309" t="s">
        <v>43</v>
      </c>
      <c r="F309" t="s">
        <v>25</v>
      </c>
      <c r="G309" t="s">
        <v>26</v>
      </c>
      <c r="H309">
        <v>6</v>
      </c>
      <c r="I309">
        <v>1308</v>
      </c>
      <c r="J309">
        <v>5308</v>
      </c>
      <c r="K309">
        <v>22551</v>
      </c>
      <c r="L309" t="s">
        <v>20</v>
      </c>
      <c r="M309">
        <v>16</v>
      </c>
      <c r="N309">
        <v>3</v>
      </c>
      <c r="O309" t="s">
        <v>36</v>
      </c>
    </row>
    <row r="310" spans="1:15" x14ac:dyDescent="0.3">
      <c r="A310">
        <v>309</v>
      </c>
      <c r="B310" t="s">
        <v>344</v>
      </c>
      <c r="C310">
        <v>37</v>
      </c>
      <c r="D310" t="s">
        <v>23</v>
      </c>
      <c r="E310" t="s">
        <v>43</v>
      </c>
      <c r="F310" t="s">
        <v>25</v>
      </c>
      <c r="G310" t="s">
        <v>29</v>
      </c>
      <c r="H310">
        <v>19</v>
      </c>
      <c r="I310">
        <v>1309</v>
      </c>
      <c r="J310">
        <v>5309</v>
      </c>
      <c r="K310">
        <v>91947</v>
      </c>
      <c r="L310" t="s">
        <v>30</v>
      </c>
      <c r="M310">
        <v>9</v>
      </c>
      <c r="N310">
        <v>3</v>
      </c>
      <c r="O310" t="s">
        <v>36</v>
      </c>
    </row>
    <row r="311" spans="1:15" x14ac:dyDescent="0.3">
      <c r="A311">
        <v>310</v>
      </c>
      <c r="B311" t="s">
        <v>345</v>
      </c>
      <c r="C311">
        <v>44</v>
      </c>
      <c r="D311" t="s">
        <v>23</v>
      </c>
      <c r="E311" t="s">
        <v>45</v>
      </c>
      <c r="F311" t="s">
        <v>33</v>
      </c>
      <c r="G311" t="s">
        <v>26</v>
      </c>
      <c r="H311">
        <v>19</v>
      </c>
      <c r="I311">
        <v>1310</v>
      </c>
      <c r="J311">
        <v>5310</v>
      </c>
      <c r="K311">
        <v>81001</v>
      </c>
      <c r="L311" t="s">
        <v>20</v>
      </c>
      <c r="M311">
        <v>73</v>
      </c>
      <c r="N311">
        <v>2</v>
      </c>
      <c r="O311" t="s">
        <v>21</v>
      </c>
    </row>
    <row r="312" spans="1:15" x14ac:dyDescent="0.3">
      <c r="A312">
        <v>311</v>
      </c>
      <c r="B312" t="s">
        <v>346</v>
      </c>
      <c r="C312">
        <v>50</v>
      </c>
      <c r="D312" t="s">
        <v>16</v>
      </c>
      <c r="E312" t="s">
        <v>43</v>
      </c>
      <c r="F312" t="s">
        <v>25</v>
      </c>
      <c r="G312" t="s">
        <v>26</v>
      </c>
      <c r="H312">
        <v>3</v>
      </c>
      <c r="I312">
        <v>1311</v>
      </c>
      <c r="J312">
        <v>5311</v>
      </c>
      <c r="K312">
        <v>69159</v>
      </c>
      <c r="L312" t="s">
        <v>27</v>
      </c>
      <c r="M312">
        <v>38</v>
      </c>
      <c r="N312">
        <v>2</v>
      </c>
      <c r="O312" t="s">
        <v>36</v>
      </c>
    </row>
    <row r="313" spans="1:15" x14ac:dyDescent="0.3">
      <c r="A313">
        <v>312</v>
      </c>
      <c r="B313" t="s">
        <v>347</v>
      </c>
      <c r="C313">
        <v>22</v>
      </c>
      <c r="D313" t="s">
        <v>16</v>
      </c>
      <c r="E313" t="s">
        <v>24</v>
      </c>
      <c r="F313" t="s">
        <v>46</v>
      </c>
      <c r="G313" t="s">
        <v>29</v>
      </c>
      <c r="H313">
        <v>5</v>
      </c>
      <c r="I313">
        <v>1312</v>
      </c>
      <c r="J313">
        <v>5312</v>
      </c>
      <c r="K313">
        <v>71707</v>
      </c>
      <c r="L313" t="s">
        <v>27</v>
      </c>
      <c r="M313">
        <v>75</v>
      </c>
      <c r="N313">
        <v>4</v>
      </c>
      <c r="O313" t="s">
        <v>31</v>
      </c>
    </row>
    <row r="314" spans="1:15" x14ac:dyDescent="0.3">
      <c r="A314">
        <v>313</v>
      </c>
      <c r="B314" t="s">
        <v>348</v>
      </c>
      <c r="C314">
        <v>59</v>
      </c>
      <c r="D314" t="s">
        <v>16</v>
      </c>
      <c r="E314" t="s">
        <v>43</v>
      </c>
      <c r="F314" t="s">
        <v>25</v>
      </c>
      <c r="G314" t="s">
        <v>29</v>
      </c>
      <c r="H314">
        <v>6</v>
      </c>
      <c r="I314">
        <v>1313</v>
      </c>
      <c r="J314">
        <v>5313</v>
      </c>
      <c r="K314">
        <v>53243</v>
      </c>
      <c r="L314" t="s">
        <v>20</v>
      </c>
      <c r="M314">
        <v>54</v>
      </c>
      <c r="N314">
        <v>3</v>
      </c>
      <c r="O314" t="s">
        <v>21</v>
      </c>
    </row>
    <row r="315" spans="1:15" x14ac:dyDescent="0.3">
      <c r="A315">
        <v>314</v>
      </c>
      <c r="B315" t="s">
        <v>349</v>
      </c>
      <c r="C315">
        <v>43</v>
      </c>
      <c r="D315" t="s">
        <v>16</v>
      </c>
      <c r="E315" t="s">
        <v>24</v>
      </c>
      <c r="F315" t="s">
        <v>33</v>
      </c>
      <c r="G315" t="s">
        <v>26</v>
      </c>
      <c r="H315">
        <v>17</v>
      </c>
      <c r="I315">
        <v>1314</v>
      </c>
      <c r="J315">
        <v>5314</v>
      </c>
      <c r="K315">
        <v>41800</v>
      </c>
      <c r="L315" t="s">
        <v>27</v>
      </c>
      <c r="M315">
        <v>56</v>
      </c>
      <c r="N315">
        <v>2</v>
      </c>
      <c r="O315" t="s">
        <v>40</v>
      </c>
    </row>
    <row r="316" spans="1:15" x14ac:dyDescent="0.3">
      <c r="A316">
        <v>315</v>
      </c>
      <c r="B316" t="s">
        <v>350</v>
      </c>
      <c r="C316">
        <v>51</v>
      </c>
      <c r="D316" t="s">
        <v>23</v>
      </c>
      <c r="E316" t="s">
        <v>24</v>
      </c>
      <c r="F316" t="s">
        <v>18</v>
      </c>
      <c r="G316" t="s">
        <v>19</v>
      </c>
      <c r="H316">
        <v>4</v>
      </c>
      <c r="I316">
        <v>1315</v>
      </c>
      <c r="J316">
        <v>5315</v>
      </c>
      <c r="K316">
        <v>95939</v>
      </c>
      <c r="L316" t="s">
        <v>38</v>
      </c>
      <c r="M316">
        <v>86</v>
      </c>
      <c r="N316">
        <v>3</v>
      </c>
      <c r="O316" t="s">
        <v>40</v>
      </c>
    </row>
    <row r="317" spans="1:15" x14ac:dyDescent="0.3">
      <c r="A317">
        <v>316</v>
      </c>
      <c r="B317" t="s">
        <v>351</v>
      </c>
      <c r="C317">
        <v>41</v>
      </c>
      <c r="D317" t="s">
        <v>23</v>
      </c>
      <c r="E317" t="s">
        <v>24</v>
      </c>
      <c r="F317" t="s">
        <v>33</v>
      </c>
      <c r="G317" t="s">
        <v>29</v>
      </c>
      <c r="H317">
        <v>19</v>
      </c>
      <c r="I317">
        <v>1316</v>
      </c>
      <c r="J317">
        <v>5316</v>
      </c>
      <c r="K317">
        <v>77828</v>
      </c>
      <c r="L317" t="s">
        <v>20</v>
      </c>
      <c r="M317">
        <v>97</v>
      </c>
      <c r="N317">
        <v>2</v>
      </c>
      <c r="O317" t="s">
        <v>40</v>
      </c>
    </row>
    <row r="318" spans="1:15" x14ac:dyDescent="0.3">
      <c r="A318">
        <v>317</v>
      </c>
      <c r="B318" t="s">
        <v>352</v>
      </c>
      <c r="C318">
        <v>42</v>
      </c>
      <c r="D318" t="s">
        <v>16</v>
      </c>
      <c r="E318" t="s">
        <v>17</v>
      </c>
      <c r="F318" t="s">
        <v>33</v>
      </c>
      <c r="G318" t="s">
        <v>19</v>
      </c>
      <c r="H318">
        <v>2</v>
      </c>
      <c r="I318">
        <v>1317</v>
      </c>
      <c r="J318">
        <v>5317</v>
      </c>
      <c r="K318">
        <v>27239</v>
      </c>
      <c r="L318" t="s">
        <v>30</v>
      </c>
      <c r="M318">
        <v>87</v>
      </c>
      <c r="N318">
        <v>1</v>
      </c>
      <c r="O318" t="s">
        <v>21</v>
      </c>
    </row>
    <row r="319" spans="1:15" x14ac:dyDescent="0.3">
      <c r="A319">
        <v>318</v>
      </c>
      <c r="B319" t="s">
        <v>353</v>
      </c>
      <c r="C319">
        <v>21</v>
      </c>
      <c r="D319" t="s">
        <v>23</v>
      </c>
      <c r="E319" t="s">
        <v>45</v>
      </c>
      <c r="F319" t="s">
        <v>18</v>
      </c>
      <c r="G319" t="s">
        <v>26</v>
      </c>
      <c r="H319">
        <v>6</v>
      </c>
      <c r="I319">
        <v>1318</v>
      </c>
      <c r="J319">
        <v>5318</v>
      </c>
      <c r="K319">
        <v>26710</v>
      </c>
      <c r="L319" t="s">
        <v>38</v>
      </c>
      <c r="M319">
        <v>45</v>
      </c>
      <c r="N319">
        <v>1</v>
      </c>
      <c r="O319" t="s">
        <v>31</v>
      </c>
    </row>
    <row r="320" spans="1:15" x14ac:dyDescent="0.3">
      <c r="A320">
        <v>319</v>
      </c>
      <c r="B320" t="s">
        <v>354</v>
      </c>
      <c r="C320">
        <v>46</v>
      </c>
      <c r="D320" t="s">
        <v>16</v>
      </c>
      <c r="E320" t="s">
        <v>24</v>
      </c>
      <c r="F320" t="s">
        <v>33</v>
      </c>
      <c r="G320" t="s">
        <v>29</v>
      </c>
      <c r="H320">
        <v>13</v>
      </c>
      <c r="I320">
        <v>1319</v>
      </c>
      <c r="J320">
        <v>5319</v>
      </c>
      <c r="K320">
        <v>41384</v>
      </c>
      <c r="L320" t="s">
        <v>20</v>
      </c>
      <c r="M320">
        <v>34</v>
      </c>
      <c r="N320">
        <v>3</v>
      </c>
      <c r="O320" t="s">
        <v>36</v>
      </c>
    </row>
    <row r="321" spans="1:15" x14ac:dyDescent="0.3">
      <c r="A321">
        <v>320</v>
      </c>
      <c r="B321" t="s">
        <v>355</v>
      </c>
      <c r="C321">
        <v>21</v>
      </c>
      <c r="D321" t="s">
        <v>23</v>
      </c>
      <c r="E321" t="s">
        <v>24</v>
      </c>
      <c r="F321" t="s">
        <v>33</v>
      </c>
      <c r="G321" t="s">
        <v>19</v>
      </c>
      <c r="H321">
        <v>6</v>
      </c>
      <c r="I321">
        <v>1320</v>
      </c>
      <c r="J321">
        <v>5320</v>
      </c>
      <c r="K321">
        <v>41038</v>
      </c>
      <c r="L321" t="s">
        <v>30</v>
      </c>
      <c r="M321">
        <v>9</v>
      </c>
      <c r="N321">
        <v>4</v>
      </c>
      <c r="O321" t="s">
        <v>36</v>
      </c>
    </row>
    <row r="322" spans="1:15" x14ac:dyDescent="0.3">
      <c r="A322">
        <v>321</v>
      </c>
      <c r="B322" t="s">
        <v>356</v>
      </c>
      <c r="C322">
        <v>45</v>
      </c>
      <c r="D322" t="s">
        <v>16</v>
      </c>
      <c r="E322" t="s">
        <v>17</v>
      </c>
      <c r="F322" t="s">
        <v>25</v>
      </c>
      <c r="G322" t="s">
        <v>29</v>
      </c>
      <c r="H322">
        <v>4</v>
      </c>
      <c r="I322">
        <v>1321</v>
      </c>
      <c r="J322">
        <v>5321</v>
      </c>
      <c r="K322">
        <v>60846</v>
      </c>
      <c r="L322" t="s">
        <v>27</v>
      </c>
      <c r="M322">
        <v>88</v>
      </c>
      <c r="N322">
        <v>2</v>
      </c>
      <c r="O322" t="s">
        <v>40</v>
      </c>
    </row>
    <row r="323" spans="1:15" x14ac:dyDescent="0.3">
      <c r="A323">
        <v>322</v>
      </c>
      <c r="B323" t="s">
        <v>357</v>
      </c>
      <c r="C323">
        <v>36</v>
      </c>
      <c r="D323" t="s">
        <v>23</v>
      </c>
      <c r="E323" t="s">
        <v>24</v>
      </c>
      <c r="F323" t="s">
        <v>25</v>
      </c>
      <c r="G323" t="s">
        <v>26</v>
      </c>
      <c r="H323">
        <v>4</v>
      </c>
      <c r="I323">
        <v>1322</v>
      </c>
      <c r="J323">
        <v>5322</v>
      </c>
      <c r="K323">
        <v>107983</v>
      </c>
      <c r="L323" t="s">
        <v>30</v>
      </c>
      <c r="M323">
        <v>8</v>
      </c>
      <c r="N323">
        <v>2</v>
      </c>
      <c r="O323" t="s">
        <v>40</v>
      </c>
    </row>
    <row r="324" spans="1:15" x14ac:dyDescent="0.3">
      <c r="A324">
        <v>323</v>
      </c>
      <c r="B324" t="s">
        <v>358</v>
      </c>
      <c r="C324">
        <v>59</v>
      </c>
      <c r="D324" t="s">
        <v>23</v>
      </c>
      <c r="E324" t="s">
        <v>43</v>
      </c>
      <c r="F324" t="s">
        <v>18</v>
      </c>
      <c r="G324" t="s">
        <v>19</v>
      </c>
      <c r="H324">
        <v>1</v>
      </c>
      <c r="I324">
        <v>1323</v>
      </c>
      <c r="J324">
        <v>5323</v>
      </c>
      <c r="K324">
        <v>87821</v>
      </c>
      <c r="L324" t="s">
        <v>38</v>
      </c>
      <c r="M324">
        <v>7</v>
      </c>
      <c r="N324">
        <v>1</v>
      </c>
      <c r="O324" t="s">
        <v>21</v>
      </c>
    </row>
    <row r="325" spans="1:15" x14ac:dyDescent="0.3">
      <c r="A325">
        <v>324</v>
      </c>
      <c r="B325" t="s">
        <v>359</v>
      </c>
      <c r="C325">
        <v>52</v>
      </c>
      <c r="D325" t="s">
        <v>16</v>
      </c>
      <c r="E325" t="s">
        <v>43</v>
      </c>
      <c r="F325" t="s">
        <v>25</v>
      </c>
      <c r="G325" t="s">
        <v>26</v>
      </c>
      <c r="H325">
        <v>5</v>
      </c>
      <c r="I325">
        <v>1324</v>
      </c>
      <c r="J325">
        <v>5324</v>
      </c>
      <c r="K325">
        <v>57991</v>
      </c>
      <c r="L325" t="s">
        <v>27</v>
      </c>
      <c r="M325">
        <v>36</v>
      </c>
      <c r="N325">
        <v>1</v>
      </c>
      <c r="O325" t="s">
        <v>31</v>
      </c>
    </row>
    <row r="326" spans="1:15" x14ac:dyDescent="0.3">
      <c r="A326">
        <v>325</v>
      </c>
      <c r="B326" t="s">
        <v>360</v>
      </c>
      <c r="C326">
        <v>28</v>
      </c>
      <c r="D326" t="s">
        <v>23</v>
      </c>
      <c r="E326" t="s">
        <v>45</v>
      </c>
      <c r="F326" t="s">
        <v>25</v>
      </c>
      <c r="G326" t="s">
        <v>26</v>
      </c>
      <c r="H326">
        <v>14</v>
      </c>
      <c r="I326">
        <v>1325</v>
      </c>
      <c r="J326">
        <v>5325</v>
      </c>
      <c r="K326">
        <v>99057</v>
      </c>
      <c r="L326" t="s">
        <v>20</v>
      </c>
      <c r="M326">
        <v>18</v>
      </c>
      <c r="N326">
        <v>4</v>
      </c>
      <c r="O326" t="s">
        <v>36</v>
      </c>
    </row>
    <row r="327" spans="1:15" x14ac:dyDescent="0.3">
      <c r="A327">
        <v>326</v>
      </c>
      <c r="B327" t="s">
        <v>361</v>
      </c>
      <c r="C327">
        <v>58</v>
      </c>
      <c r="D327" t="s">
        <v>16</v>
      </c>
      <c r="E327" t="s">
        <v>24</v>
      </c>
      <c r="F327" t="s">
        <v>33</v>
      </c>
      <c r="G327" t="s">
        <v>29</v>
      </c>
      <c r="H327">
        <v>9</v>
      </c>
      <c r="I327">
        <v>1326</v>
      </c>
      <c r="J327">
        <v>5326</v>
      </c>
      <c r="K327">
        <v>26971</v>
      </c>
      <c r="L327" t="s">
        <v>27</v>
      </c>
      <c r="M327">
        <v>3</v>
      </c>
      <c r="N327">
        <v>4</v>
      </c>
      <c r="O327" t="s">
        <v>21</v>
      </c>
    </row>
    <row r="328" spans="1:15" x14ac:dyDescent="0.3">
      <c r="A328">
        <v>327</v>
      </c>
      <c r="B328" t="s">
        <v>362</v>
      </c>
      <c r="C328">
        <v>48</v>
      </c>
      <c r="D328" t="s">
        <v>16</v>
      </c>
      <c r="E328" t="s">
        <v>17</v>
      </c>
      <c r="F328" t="s">
        <v>46</v>
      </c>
      <c r="G328" t="s">
        <v>19</v>
      </c>
      <c r="H328">
        <v>6</v>
      </c>
      <c r="I328">
        <v>1327</v>
      </c>
      <c r="J328">
        <v>5327</v>
      </c>
      <c r="K328">
        <v>49139</v>
      </c>
      <c r="L328" t="s">
        <v>20</v>
      </c>
      <c r="M328">
        <v>28</v>
      </c>
      <c r="N328">
        <v>4</v>
      </c>
      <c r="O328" t="s">
        <v>36</v>
      </c>
    </row>
    <row r="329" spans="1:15" x14ac:dyDescent="0.3">
      <c r="A329">
        <v>328</v>
      </c>
      <c r="B329" t="s">
        <v>363</v>
      </c>
      <c r="C329">
        <v>45</v>
      </c>
      <c r="D329" t="s">
        <v>16</v>
      </c>
      <c r="E329" t="s">
        <v>43</v>
      </c>
      <c r="F329" t="s">
        <v>25</v>
      </c>
      <c r="G329" t="s">
        <v>26</v>
      </c>
      <c r="H329">
        <v>4</v>
      </c>
      <c r="I329">
        <v>1328</v>
      </c>
      <c r="J329">
        <v>5328</v>
      </c>
      <c r="K329">
        <v>105445</v>
      </c>
      <c r="L329" t="s">
        <v>20</v>
      </c>
      <c r="M329">
        <v>70</v>
      </c>
      <c r="N329">
        <v>3</v>
      </c>
      <c r="O329" t="s">
        <v>40</v>
      </c>
    </row>
    <row r="330" spans="1:15" x14ac:dyDescent="0.3">
      <c r="A330">
        <v>329</v>
      </c>
      <c r="B330" t="s">
        <v>364</v>
      </c>
      <c r="C330">
        <v>54</v>
      </c>
      <c r="D330" t="s">
        <v>16</v>
      </c>
      <c r="E330" t="s">
        <v>17</v>
      </c>
      <c r="F330" t="s">
        <v>46</v>
      </c>
      <c r="G330" t="s">
        <v>26</v>
      </c>
      <c r="H330">
        <v>0</v>
      </c>
      <c r="I330">
        <v>1329</v>
      </c>
      <c r="J330">
        <v>5329</v>
      </c>
      <c r="K330">
        <v>97067</v>
      </c>
      <c r="L330" t="s">
        <v>30</v>
      </c>
      <c r="M330">
        <v>44</v>
      </c>
      <c r="N330">
        <v>1</v>
      </c>
      <c r="O330" t="s">
        <v>36</v>
      </c>
    </row>
    <row r="331" spans="1:15" x14ac:dyDescent="0.3">
      <c r="A331">
        <v>330</v>
      </c>
      <c r="B331" t="s">
        <v>365</v>
      </c>
      <c r="C331">
        <v>44</v>
      </c>
      <c r="D331" t="s">
        <v>23</v>
      </c>
      <c r="E331" t="s">
        <v>17</v>
      </c>
      <c r="F331" t="s">
        <v>25</v>
      </c>
      <c r="G331" t="s">
        <v>19</v>
      </c>
      <c r="H331">
        <v>12</v>
      </c>
      <c r="I331">
        <v>1330</v>
      </c>
      <c r="J331">
        <v>5330</v>
      </c>
      <c r="K331">
        <v>100257</v>
      </c>
      <c r="L331" t="s">
        <v>30</v>
      </c>
      <c r="M331">
        <v>21</v>
      </c>
      <c r="N331">
        <v>3</v>
      </c>
      <c r="O331" t="s">
        <v>31</v>
      </c>
    </row>
    <row r="332" spans="1:15" x14ac:dyDescent="0.3">
      <c r="A332">
        <v>331</v>
      </c>
      <c r="B332" t="s">
        <v>366</v>
      </c>
      <c r="C332">
        <v>43</v>
      </c>
      <c r="D332" t="s">
        <v>23</v>
      </c>
      <c r="E332" t="s">
        <v>43</v>
      </c>
      <c r="F332" t="s">
        <v>25</v>
      </c>
      <c r="G332" t="s">
        <v>26</v>
      </c>
      <c r="H332">
        <v>17</v>
      </c>
      <c r="I332">
        <v>1331</v>
      </c>
      <c r="J332">
        <v>5331</v>
      </c>
      <c r="K332">
        <v>104742</v>
      </c>
      <c r="L332" t="s">
        <v>30</v>
      </c>
      <c r="M332">
        <v>28</v>
      </c>
      <c r="N332">
        <v>1</v>
      </c>
      <c r="O332" t="s">
        <v>31</v>
      </c>
    </row>
    <row r="333" spans="1:15" x14ac:dyDescent="0.3">
      <c r="A333">
        <v>332</v>
      </c>
      <c r="B333" t="s">
        <v>367</v>
      </c>
      <c r="C333">
        <v>32</v>
      </c>
      <c r="D333" t="s">
        <v>23</v>
      </c>
      <c r="E333" t="s">
        <v>17</v>
      </c>
      <c r="F333" t="s">
        <v>18</v>
      </c>
      <c r="G333" t="s">
        <v>26</v>
      </c>
      <c r="H333">
        <v>12</v>
      </c>
      <c r="I333">
        <v>1332</v>
      </c>
      <c r="J333">
        <v>5332</v>
      </c>
      <c r="K333">
        <v>57711</v>
      </c>
      <c r="L333" t="s">
        <v>38</v>
      </c>
      <c r="M333">
        <v>54</v>
      </c>
      <c r="N333">
        <v>1</v>
      </c>
      <c r="O333" t="s">
        <v>40</v>
      </c>
    </row>
    <row r="334" spans="1:15" x14ac:dyDescent="0.3">
      <c r="A334">
        <v>333</v>
      </c>
      <c r="B334" t="s">
        <v>368</v>
      </c>
      <c r="C334">
        <v>26</v>
      </c>
      <c r="D334" t="s">
        <v>16</v>
      </c>
      <c r="E334" t="s">
        <v>43</v>
      </c>
      <c r="F334" t="s">
        <v>18</v>
      </c>
      <c r="G334" t="s">
        <v>19</v>
      </c>
      <c r="H334">
        <v>17</v>
      </c>
      <c r="I334">
        <v>1333</v>
      </c>
      <c r="J334">
        <v>5333</v>
      </c>
      <c r="K334">
        <v>26530</v>
      </c>
      <c r="L334" t="s">
        <v>38</v>
      </c>
      <c r="M334">
        <v>54</v>
      </c>
      <c r="N334">
        <v>2</v>
      </c>
      <c r="O334" t="s">
        <v>31</v>
      </c>
    </row>
    <row r="335" spans="1:15" x14ac:dyDescent="0.3">
      <c r="A335">
        <v>334</v>
      </c>
      <c r="B335" t="s">
        <v>369</v>
      </c>
      <c r="C335">
        <v>55</v>
      </c>
      <c r="D335" t="s">
        <v>23</v>
      </c>
      <c r="E335" t="s">
        <v>17</v>
      </c>
      <c r="F335" t="s">
        <v>18</v>
      </c>
      <c r="G335" t="s">
        <v>19</v>
      </c>
      <c r="H335">
        <v>4</v>
      </c>
      <c r="I335">
        <v>1334</v>
      </c>
      <c r="J335">
        <v>5334</v>
      </c>
      <c r="K335">
        <v>31116</v>
      </c>
      <c r="L335" t="s">
        <v>30</v>
      </c>
      <c r="M335">
        <v>65</v>
      </c>
      <c r="N335">
        <v>1</v>
      </c>
      <c r="O335" t="s">
        <v>31</v>
      </c>
    </row>
    <row r="336" spans="1:15" x14ac:dyDescent="0.3">
      <c r="A336">
        <v>335</v>
      </c>
      <c r="B336" t="s">
        <v>370</v>
      </c>
      <c r="C336">
        <v>39</v>
      </c>
      <c r="D336" t="s">
        <v>16</v>
      </c>
      <c r="E336" t="s">
        <v>43</v>
      </c>
      <c r="F336" t="s">
        <v>46</v>
      </c>
      <c r="G336" t="s">
        <v>19</v>
      </c>
      <c r="H336">
        <v>12</v>
      </c>
      <c r="I336">
        <v>1335</v>
      </c>
      <c r="J336">
        <v>5335</v>
      </c>
      <c r="K336">
        <v>85794</v>
      </c>
      <c r="L336" t="s">
        <v>38</v>
      </c>
      <c r="M336">
        <v>21</v>
      </c>
      <c r="N336">
        <v>1</v>
      </c>
      <c r="O336" t="s">
        <v>21</v>
      </c>
    </row>
    <row r="337" spans="1:15" x14ac:dyDescent="0.3">
      <c r="A337">
        <v>336</v>
      </c>
      <c r="B337" t="s">
        <v>371</v>
      </c>
      <c r="C337">
        <v>20</v>
      </c>
      <c r="D337" t="s">
        <v>23</v>
      </c>
      <c r="E337" t="s">
        <v>24</v>
      </c>
      <c r="F337" t="s">
        <v>33</v>
      </c>
      <c r="G337" t="s">
        <v>19</v>
      </c>
      <c r="H337">
        <v>3</v>
      </c>
      <c r="I337">
        <v>1336</v>
      </c>
      <c r="J337">
        <v>5336</v>
      </c>
      <c r="K337">
        <v>20282</v>
      </c>
      <c r="L337" t="s">
        <v>27</v>
      </c>
      <c r="M337">
        <v>99</v>
      </c>
      <c r="N337">
        <v>3</v>
      </c>
      <c r="O337" t="s">
        <v>36</v>
      </c>
    </row>
    <row r="338" spans="1:15" x14ac:dyDescent="0.3">
      <c r="A338">
        <v>337</v>
      </c>
      <c r="B338" t="s">
        <v>372</v>
      </c>
      <c r="C338">
        <v>27</v>
      </c>
      <c r="D338" t="s">
        <v>23</v>
      </c>
      <c r="E338" t="s">
        <v>45</v>
      </c>
      <c r="F338" t="s">
        <v>25</v>
      </c>
      <c r="G338" t="s">
        <v>29</v>
      </c>
      <c r="H338">
        <v>16</v>
      </c>
      <c r="I338">
        <v>1337</v>
      </c>
      <c r="J338">
        <v>5337</v>
      </c>
      <c r="K338">
        <v>99473</v>
      </c>
      <c r="L338" t="s">
        <v>27</v>
      </c>
      <c r="M338">
        <v>13</v>
      </c>
      <c r="N338">
        <v>1</v>
      </c>
      <c r="O338" t="s">
        <v>40</v>
      </c>
    </row>
    <row r="339" spans="1:15" x14ac:dyDescent="0.3">
      <c r="A339">
        <v>338</v>
      </c>
      <c r="B339" t="s">
        <v>373</v>
      </c>
      <c r="C339">
        <v>35</v>
      </c>
      <c r="D339" t="s">
        <v>23</v>
      </c>
      <c r="E339" t="s">
        <v>43</v>
      </c>
      <c r="F339" t="s">
        <v>25</v>
      </c>
      <c r="G339" t="s">
        <v>19</v>
      </c>
      <c r="H339">
        <v>2</v>
      </c>
      <c r="I339">
        <v>1338</v>
      </c>
      <c r="J339">
        <v>5338</v>
      </c>
      <c r="K339">
        <v>21898</v>
      </c>
      <c r="L339" t="s">
        <v>38</v>
      </c>
      <c r="M339">
        <v>57</v>
      </c>
      <c r="N339">
        <v>3</v>
      </c>
      <c r="O339" t="s">
        <v>40</v>
      </c>
    </row>
    <row r="340" spans="1:15" x14ac:dyDescent="0.3">
      <c r="A340">
        <v>339</v>
      </c>
      <c r="B340" t="s">
        <v>374</v>
      </c>
      <c r="C340">
        <v>33</v>
      </c>
      <c r="D340" t="s">
        <v>16</v>
      </c>
      <c r="E340" t="s">
        <v>43</v>
      </c>
      <c r="F340" t="s">
        <v>25</v>
      </c>
      <c r="G340" t="s">
        <v>29</v>
      </c>
      <c r="H340">
        <v>16</v>
      </c>
      <c r="I340">
        <v>1339</v>
      </c>
      <c r="J340">
        <v>5339</v>
      </c>
      <c r="K340">
        <v>24135</v>
      </c>
      <c r="L340" t="s">
        <v>38</v>
      </c>
      <c r="M340">
        <v>49</v>
      </c>
      <c r="N340">
        <v>4</v>
      </c>
      <c r="O340" t="s">
        <v>40</v>
      </c>
    </row>
    <row r="341" spans="1:15" x14ac:dyDescent="0.3">
      <c r="A341">
        <v>340</v>
      </c>
      <c r="B341" t="s">
        <v>375</v>
      </c>
      <c r="C341">
        <v>31</v>
      </c>
      <c r="D341" t="s">
        <v>23</v>
      </c>
      <c r="E341" t="s">
        <v>45</v>
      </c>
      <c r="F341" t="s">
        <v>46</v>
      </c>
      <c r="G341" t="s">
        <v>29</v>
      </c>
      <c r="H341">
        <v>10</v>
      </c>
      <c r="I341">
        <v>1340</v>
      </c>
      <c r="J341">
        <v>5340</v>
      </c>
      <c r="K341">
        <v>26629</v>
      </c>
      <c r="L341" t="s">
        <v>27</v>
      </c>
      <c r="M341">
        <v>54</v>
      </c>
      <c r="N341">
        <v>1</v>
      </c>
      <c r="O341" t="s">
        <v>40</v>
      </c>
    </row>
    <row r="342" spans="1:15" x14ac:dyDescent="0.3">
      <c r="A342">
        <v>341</v>
      </c>
      <c r="B342" t="s">
        <v>376</v>
      </c>
      <c r="C342">
        <v>42</v>
      </c>
      <c r="D342" t="s">
        <v>23</v>
      </c>
      <c r="E342" t="s">
        <v>43</v>
      </c>
      <c r="F342" t="s">
        <v>18</v>
      </c>
      <c r="G342" t="s">
        <v>29</v>
      </c>
      <c r="H342">
        <v>19</v>
      </c>
      <c r="I342">
        <v>1341</v>
      </c>
      <c r="J342">
        <v>5341</v>
      </c>
      <c r="K342">
        <v>105120</v>
      </c>
      <c r="L342" t="s">
        <v>20</v>
      </c>
      <c r="M342">
        <v>10</v>
      </c>
      <c r="N342">
        <v>1</v>
      </c>
      <c r="O342" t="s">
        <v>40</v>
      </c>
    </row>
    <row r="343" spans="1:15" x14ac:dyDescent="0.3">
      <c r="A343">
        <v>342</v>
      </c>
      <c r="B343" t="s">
        <v>377</v>
      </c>
      <c r="C343">
        <v>34</v>
      </c>
      <c r="D343" t="s">
        <v>16</v>
      </c>
      <c r="E343" t="s">
        <v>43</v>
      </c>
      <c r="F343" t="s">
        <v>33</v>
      </c>
      <c r="G343" t="s">
        <v>26</v>
      </c>
      <c r="H343">
        <v>3</v>
      </c>
      <c r="I343">
        <v>1342</v>
      </c>
      <c r="J343">
        <v>5342</v>
      </c>
      <c r="K343">
        <v>109087</v>
      </c>
      <c r="L343" t="s">
        <v>27</v>
      </c>
      <c r="M343">
        <v>53</v>
      </c>
      <c r="N343">
        <v>3</v>
      </c>
      <c r="O343" t="s">
        <v>31</v>
      </c>
    </row>
    <row r="344" spans="1:15" x14ac:dyDescent="0.3">
      <c r="A344">
        <v>343</v>
      </c>
      <c r="B344" t="s">
        <v>378</v>
      </c>
      <c r="C344">
        <v>47</v>
      </c>
      <c r="D344" t="s">
        <v>23</v>
      </c>
      <c r="E344" t="s">
        <v>17</v>
      </c>
      <c r="F344" t="s">
        <v>46</v>
      </c>
      <c r="G344" t="s">
        <v>29</v>
      </c>
      <c r="H344">
        <v>1</v>
      </c>
      <c r="I344">
        <v>1343</v>
      </c>
      <c r="J344">
        <v>5343</v>
      </c>
      <c r="K344">
        <v>85031</v>
      </c>
      <c r="L344" t="s">
        <v>27</v>
      </c>
      <c r="M344">
        <v>44</v>
      </c>
      <c r="N344">
        <v>4</v>
      </c>
      <c r="O344" t="s">
        <v>21</v>
      </c>
    </row>
    <row r="345" spans="1:15" x14ac:dyDescent="0.3">
      <c r="A345">
        <v>344</v>
      </c>
      <c r="B345" t="s">
        <v>379</v>
      </c>
      <c r="C345">
        <v>53</v>
      </c>
      <c r="D345" t="s">
        <v>16</v>
      </c>
      <c r="E345" t="s">
        <v>45</v>
      </c>
      <c r="F345" t="s">
        <v>18</v>
      </c>
      <c r="G345" t="s">
        <v>29</v>
      </c>
      <c r="H345">
        <v>19</v>
      </c>
      <c r="I345">
        <v>1344</v>
      </c>
      <c r="J345">
        <v>5344</v>
      </c>
      <c r="K345">
        <v>53380</v>
      </c>
      <c r="L345" t="s">
        <v>38</v>
      </c>
      <c r="M345">
        <v>47</v>
      </c>
      <c r="N345">
        <v>2</v>
      </c>
      <c r="O345" t="s">
        <v>40</v>
      </c>
    </row>
    <row r="346" spans="1:15" x14ac:dyDescent="0.3">
      <c r="A346">
        <v>345</v>
      </c>
      <c r="B346" t="s">
        <v>380</v>
      </c>
      <c r="C346">
        <v>21</v>
      </c>
      <c r="D346" t="s">
        <v>23</v>
      </c>
      <c r="E346" t="s">
        <v>24</v>
      </c>
      <c r="F346" t="s">
        <v>46</v>
      </c>
      <c r="G346" t="s">
        <v>26</v>
      </c>
      <c r="H346">
        <v>15</v>
      </c>
      <c r="I346">
        <v>1345</v>
      </c>
      <c r="J346">
        <v>5345</v>
      </c>
      <c r="K346">
        <v>37071</v>
      </c>
      <c r="L346" t="s">
        <v>27</v>
      </c>
      <c r="M346">
        <v>53</v>
      </c>
      <c r="N346">
        <v>4</v>
      </c>
      <c r="O346" t="s">
        <v>21</v>
      </c>
    </row>
    <row r="347" spans="1:15" x14ac:dyDescent="0.3">
      <c r="A347">
        <v>346</v>
      </c>
      <c r="B347" t="s">
        <v>381</v>
      </c>
      <c r="C347">
        <v>51</v>
      </c>
      <c r="D347" t="s">
        <v>16</v>
      </c>
      <c r="E347" t="s">
        <v>43</v>
      </c>
      <c r="F347" t="s">
        <v>33</v>
      </c>
      <c r="G347" t="s">
        <v>26</v>
      </c>
      <c r="H347">
        <v>17</v>
      </c>
      <c r="I347">
        <v>1346</v>
      </c>
      <c r="J347">
        <v>5346</v>
      </c>
      <c r="K347">
        <v>40074</v>
      </c>
      <c r="L347" t="s">
        <v>38</v>
      </c>
      <c r="M347">
        <v>74</v>
      </c>
      <c r="N347">
        <v>3</v>
      </c>
      <c r="O347" t="s">
        <v>21</v>
      </c>
    </row>
    <row r="348" spans="1:15" x14ac:dyDescent="0.3">
      <c r="A348">
        <v>347</v>
      </c>
      <c r="B348" t="s">
        <v>382</v>
      </c>
      <c r="C348">
        <v>42</v>
      </c>
      <c r="D348" t="s">
        <v>16</v>
      </c>
      <c r="E348" t="s">
        <v>45</v>
      </c>
      <c r="F348" t="s">
        <v>18</v>
      </c>
      <c r="G348" t="s">
        <v>26</v>
      </c>
      <c r="H348">
        <v>7</v>
      </c>
      <c r="I348">
        <v>1347</v>
      </c>
      <c r="J348">
        <v>5347</v>
      </c>
      <c r="K348">
        <v>110724</v>
      </c>
      <c r="L348" t="s">
        <v>38</v>
      </c>
      <c r="M348">
        <v>46</v>
      </c>
      <c r="N348">
        <v>4</v>
      </c>
      <c r="O348" t="s">
        <v>31</v>
      </c>
    </row>
    <row r="349" spans="1:15" x14ac:dyDescent="0.3">
      <c r="A349">
        <v>348</v>
      </c>
      <c r="B349" t="s">
        <v>383</v>
      </c>
      <c r="C349">
        <v>41</v>
      </c>
      <c r="D349" t="s">
        <v>23</v>
      </c>
      <c r="E349" t="s">
        <v>17</v>
      </c>
      <c r="F349" t="s">
        <v>46</v>
      </c>
      <c r="G349" t="s">
        <v>19</v>
      </c>
      <c r="H349">
        <v>2</v>
      </c>
      <c r="I349">
        <v>1348</v>
      </c>
      <c r="J349">
        <v>5348</v>
      </c>
      <c r="K349">
        <v>87843</v>
      </c>
      <c r="L349" t="s">
        <v>30</v>
      </c>
      <c r="M349">
        <v>13</v>
      </c>
      <c r="N349">
        <v>3</v>
      </c>
      <c r="O349" t="s">
        <v>40</v>
      </c>
    </row>
    <row r="350" spans="1:15" x14ac:dyDescent="0.3">
      <c r="A350">
        <v>349</v>
      </c>
      <c r="B350" t="s">
        <v>384</v>
      </c>
      <c r="C350">
        <v>44</v>
      </c>
      <c r="D350" t="s">
        <v>16</v>
      </c>
      <c r="E350" t="s">
        <v>24</v>
      </c>
      <c r="F350" t="s">
        <v>33</v>
      </c>
      <c r="G350" t="s">
        <v>26</v>
      </c>
      <c r="H350">
        <v>8</v>
      </c>
      <c r="I350">
        <v>1349</v>
      </c>
      <c r="J350">
        <v>5349</v>
      </c>
      <c r="K350">
        <v>59901</v>
      </c>
      <c r="L350" t="s">
        <v>27</v>
      </c>
      <c r="M350">
        <v>37</v>
      </c>
      <c r="N350">
        <v>3</v>
      </c>
      <c r="O350" t="s">
        <v>31</v>
      </c>
    </row>
    <row r="351" spans="1:15" x14ac:dyDescent="0.3">
      <c r="A351">
        <v>350</v>
      </c>
      <c r="B351" t="s">
        <v>385</v>
      </c>
      <c r="C351">
        <v>41</v>
      </c>
      <c r="D351" t="s">
        <v>16</v>
      </c>
      <c r="E351" t="s">
        <v>45</v>
      </c>
      <c r="F351" t="s">
        <v>25</v>
      </c>
      <c r="G351" t="s">
        <v>26</v>
      </c>
      <c r="H351">
        <v>19</v>
      </c>
      <c r="I351">
        <v>1350</v>
      </c>
      <c r="J351">
        <v>5350</v>
      </c>
      <c r="K351">
        <v>31205</v>
      </c>
      <c r="L351" t="s">
        <v>20</v>
      </c>
      <c r="M351">
        <v>24</v>
      </c>
      <c r="N351">
        <v>2</v>
      </c>
      <c r="O351" t="s">
        <v>40</v>
      </c>
    </row>
    <row r="352" spans="1:15" x14ac:dyDescent="0.3">
      <c r="A352">
        <v>351</v>
      </c>
      <c r="B352" t="s">
        <v>386</v>
      </c>
      <c r="C352">
        <v>41</v>
      </c>
      <c r="D352" t="s">
        <v>16</v>
      </c>
      <c r="E352" t="s">
        <v>24</v>
      </c>
      <c r="F352" t="s">
        <v>33</v>
      </c>
      <c r="G352" t="s">
        <v>29</v>
      </c>
      <c r="H352">
        <v>5</v>
      </c>
      <c r="I352">
        <v>1351</v>
      </c>
      <c r="J352">
        <v>5351</v>
      </c>
      <c r="K352">
        <v>75661</v>
      </c>
      <c r="L352" t="s">
        <v>30</v>
      </c>
      <c r="M352">
        <v>2</v>
      </c>
      <c r="N352">
        <v>1</v>
      </c>
      <c r="O352" t="s">
        <v>31</v>
      </c>
    </row>
    <row r="353" spans="1:15" x14ac:dyDescent="0.3">
      <c r="A353">
        <v>352</v>
      </c>
      <c r="B353" t="s">
        <v>387</v>
      </c>
      <c r="C353">
        <v>25</v>
      </c>
      <c r="D353" t="s">
        <v>16</v>
      </c>
      <c r="E353" t="s">
        <v>24</v>
      </c>
      <c r="F353" t="s">
        <v>25</v>
      </c>
      <c r="G353" t="s">
        <v>26</v>
      </c>
      <c r="H353">
        <v>9</v>
      </c>
      <c r="I353">
        <v>1352</v>
      </c>
      <c r="J353">
        <v>5352</v>
      </c>
      <c r="K353">
        <v>25906</v>
      </c>
      <c r="L353" t="s">
        <v>38</v>
      </c>
      <c r="M353">
        <v>86</v>
      </c>
      <c r="N353">
        <v>3</v>
      </c>
      <c r="O353" t="s">
        <v>21</v>
      </c>
    </row>
    <row r="354" spans="1:15" x14ac:dyDescent="0.3">
      <c r="A354">
        <v>353</v>
      </c>
      <c r="B354" t="s">
        <v>388</v>
      </c>
      <c r="C354">
        <v>34</v>
      </c>
      <c r="D354" t="s">
        <v>16</v>
      </c>
      <c r="E354" t="s">
        <v>24</v>
      </c>
      <c r="F354" t="s">
        <v>46</v>
      </c>
      <c r="G354" t="s">
        <v>19</v>
      </c>
      <c r="H354">
        <v>9</v>
      </c>
      <c r="I354">
        <v>1353</v>
      </c>
      <c r="J354">
        <v>5353</v>
      </c>
      <c r="K354">
        <v>22591</v>
      </c>
      <c r="L354" t="s">
        <v>38</v>
      </c>
      <c r="M354">
        <v>81</v>
      </c>
      <c r="N354">
        <v>3</v>
      </c>
      <c r="O354" t="s">
        <v>40</v>
      </c>
    </row>
    <row r="355" spans="1:15" x14ac:dyDescent="0.3">
      <c r="A355">
        <v>354</v>
      </c>
      <c r="B355" t="s">
        <v>389</v>
      </c>
      <c r="C355">
        <v>56</v>
      </c>
      <c r="D355" t="s">
        <v>16</v>
      </c>
      <c r="E355" t="s">
        <v>43</v>
      </c>
      <c r="F355" t="s">
        <v>18</v>
      </c>
      <c r="G355" t="s">
        <v>26</v>
      </c>
      <c r="H355">
        <v>12</v>
      </c>
      <c r="I355">
        <v>1354</v>
      </c>
      <c r="J355">
        <v>5354</v>
      </c>
      <c r="K355">
        <v>82987</v>
      </c>
      <c r="L355" t="s">
        <v>20</v>
      </c>
      <c r="M355">
        <v>14</v>
      </c>
      <c r="N355">
        <v>2</v>
      </c>
      <c r="O355" t="s">
        <v>36</v>
      </c>
    </row>
    <row r="356" spans="1:15" x14ac:dyDescent="0.3">
      <c r="A356">
        <v>355</v>
      </c>
      <c r="B356" t="s">
        <v>390</v>
      </c>
      <c r="C356">
        <v>52</v>
      </c>
      <c r="D356" t="s">
        <v>23</v>
      </c>
      <c r="E356" t="s">
        <v>43</v>
      </c>
      <c r="F356" t="s">
        <v>18</v>
      </c>
      <c r="G356" t="s">
        <v>19</v>
      </c>
      <c r="H356">
        <v>16</v>
      </c>
      <c r="I356">
        <v>1355</v>
      </c>
      <c r="J356">
        <v>5355</v>
      </c>
      <c r="K356">
        <v>83370</v>
      </c>
      <c r="L356" t="s">
        <v>38</v>
      </c>
      <c r="M356">
        <v>10</v>
      </c>
      <c r="N356">
        <v>3</v>
      </c>
      <c r="O356" t="s">
        <v>21</v>
      </c>
    </row>
    <row r="357" spans="1:15" x14ac:dyDescent="0.3">
      <c r="A357">
        <v>356</v>
      </c>
      <c r="B357" t="s">
        <v>391</v>
      </c>
      <c r="C357">
        <v>27</v>
      </c>
      <c r="D357" t="s">
        <v>16</v>
      </c>
      <c r="E357" t="s">
        <v>17</v>
      </c>
      <c r="F357" t="s">
        <v>46</v>
      </c>
      <c r="G357" t="s">
        <v>26</v>
      </c>
      <c r="H357">
        <v>8</v>
      </c>
      <c r="I357">
        <v>1356</v>
      </c>
      <c r="J357">
        <v>5356</v>
      </c>
      <c r="K357">
        <v>100685</v>
      </c>
      <c r="L357" t="s">
        <v>27</v>
      </c>
      <c r="M357">
        <v>35</v>
      </c>
      <c r="N357">
        <v>1</v>
      </c>
      <c r="O357" t="s">
        <v>36</v>
      </c>
    </row>
    <row r="358" spans="1:15" x14ac:dyDescent="0.3">
      <c r="A358">
        <v>357</v>
      </c>
      <c r="B358" t="s">
        <v>392</v>
      </c>
      <c r="C358">
        <v>24</v>
      </c>
      <c r="D358" t="s">
        <v>16</v>
      </c>
      <c r="E358" t="s">
        <v>17</v>
      </c>
      <c r="F358" t="s">
        <v>18</v>
      </c>
      <c r="G358" t="s">
        <v>26</v>
      </c>
      <c r="H358">
        <v>16</v>
      </c>
      <c r="I358">
        <v>1357</v>
      </c>
      <c r="J358">
        <v>5357</v>
      </c>
      <c r="K358">
        <v>74400</v>
      </c>
      <c r="L358" t="s">
        <v>30</v>
      </c>
      <c r="M358">
        <v>25</v>
      </c>
      <c r="N358">
        <v>2</v>
      </c>
      <c r="O358" t="s">
        <v>21</v>
      </c>
    </row>
    <row r="359" spans="1:15" x14ac:dyDescent="0.3">
      <c r="A359">
        <v>358</v>
      </c>
      <c r="B359" t="s">
        <v>393</v>
      </c>
      <c r="C359">
        <v>58</v>
      </c>
      <c r="D359" t="s">
        <v>23</v>
      </c>
      <c r="E359" t="s">
        <v>45</v>
      </c>
      <c r="F359" t="s">
        <v>18</v>
      </c>
      <c r="G359" t="s">
        <v>26</v>
      </c>
      <c r="H359">
        <v>8</v>
      </c>
      <c r="I359">
        <v>1358</v>
      </c>
      <c r="J359">
        <v>5358</v>
      </c>
      <c r="K359">
        <v>45150</v>
      </c>
      <c r="L359" t="s">
        <v>38</v>
      </c>
      <c r="M359">
        <v>3</v>
      </c>
      <c r="N359">
        <v>1</v>
      </c>
      <c r="O359" t="s">
        <v>31</v>
      </c>
    </row>
    <row r="360" spans="1:15" x14ac:dyDescent="0.3">
      <c r="A360">
        <v>359</v>
      </c>
      <c r="B360" t="s">
        <v>394</v>
      </c>
      <c r="C360">
        <v>23</v>
      </c>
      <c r="D360" t="s">
        <v>23</v>
      </c>
      <c r="E360" t="s">
        <v>17</v>
      </c>
      <c r="F360" t="s">
        <v>25</v>
      </c>
      <c r="G360" t="s">
        <v>26</v>
      </c>
      <c r="H360">
        <v>8</v>
      </c>
      <c r="I360">
        <v>1359</v>
      </c>
      <c r="J360">
        <v>5359</v>
      </c>
      <c r="K360">
        <v>51852</v>
      </c>
      <c r="L360" t="s">
        <v>38</v>
      </c>
      <c r="M360">
        <v>17</v>
      </c>
      <c r="N360">
        <v>1</v>
      </c>
      <c r="O360" t="s">
        <v>40</v>
      </c>
    </row>
    <row r="361" spans="1:15" x14ac:dyDescent="0.3">
      <c r="A361">
        <v>360</v>
      </c>
      <c r="B361" t="s">
        <v>395</v>
      </c>
      <c r="C361">
        <v>25</v>
      </c>
      <c r="D361" t="s">
        <v>23</v>
      </c>
      <c r="E361" t="s">
        <v>24</v>
      </c>
      <c r="F361" t="s">
        <v>46</v>
      </c>
      <c r="G361" t="s">
        <v>19</v>
      </c>
      <c r="H361">
        <v>0</v>
      </c>
      <c r="I361">
        <v>1360</v>
      </c>
      <c r="J361">
        <v>5360</v>
      </c>
      <c r="K361">
        <v>62870</v>
      </c>
      <c r="L361" t="s">
        <v>20</v>
      </c>
      <c r="M361">
        <v>12</v>
      </c>
      <c r="N361">
        <v>2</v>
      </c>
      <c r="O361" t="s">
        <v>21</v>
      </c>
    </row>
    <row r="362" spans="1:15" x14ac:dyDescent="0.3">
      <c r="A362">
        <v>361</v>
      </c>
      <c r="B362" t="s">
        <v>396</v>
      </c>
      <c r="C362">
        <v>51</v>
      </c>
      <c r="D362" t="s">
        <v>23</v>
      </c>
      <c r="E362" t="s">
        <v>24</v>
      </c>
      <c r="F362" t="s">
        <v>33</v>
      </c>
      <c r="G362" t="s">
        <v>19</v>
      </c>
      <c r="H362">
        <v>1</v>
      </c>
      <c r="I362">
        <v>1361</v>
      </c>
      <c r="J362">
        <v>5361</v>
      </c>
      <c r="K362">
        <v>72756</v>
      </c>
      <c r="L362" t="s">
        <v>27</v>
      </c>
      <c r="M362">
        <v>54</v>
      </c>
      <c r="N362">
        <v>3</v>
      </c>
      <c r="O362" t="s">
        <v>31</v>
      </c>
    </row>
    <row r="363" spans="1:15" x14ac:dyDescent="0.3">
      <c r="A363">
        <v>362</v>
      </c>
      <c r="B363" t="s">
        <v>397</v>
      </c>
      <c r="C363">
        <v>49</v>
      </c>
      <c r="D363" t="s">
        <v>23</v>
      </c>
      <c r="E363" t="s">
        <v>43</v>
      </c>
      <c r="F363" t="s">
        <v>25</v>
      </c>
      <c r="G363" t="s">
        <v>29</v>
      </c>
      <c r="H363">
        <v>15</v>
      </c>
      <c r="I363">
        <v>1362</v>
      </c>
      <c r="J363">
        <v>5362</v>
      </c>
      <c r="K363">
        <v>76481</v>
      </c>
      <c r="L363" t="s">
        <v>38</v>
      </c>
      <c r="M363">
        <v>24</v>
      </c>
      <c r="N363">
        <v>1</v>
      </c>
      <c r="O363" t="s">
        <v>40</v>
      </c>
    </row>
    <row r="364" spans="1:15" x14ac:dyDescent="0.3">
      <c r="A364">
        <v>363</v>
      </c>
      <c r="B364" t="s">
        <v>398</v>
      </c>
      <c r="C364">
        <v>54</v>
      </c>
      <c r="D364" t="s">
        <v>23</v>
      </c>
      <c r="E364" t="s">
        <v>24</v>
      </c>
      <c r="F364" t="s">
        <v>46</v>
      </c>
      <c r="G364" t="s">
        <v>19</v>
      </c>
      <c r="H364">
        <v>0</v>
      </c>
      <c r="I364">
        <v>1363</v>
      </c>
      <c r="J364">
        <v>5363</v>
      </c>
      <c r="K364">
        <v>21283</v>
      </c>
      <c r="L364" t="s">
        <v>20</v>
      </c>
      <c r="M364">
        <v>29</v>
      </c>
      <c r="N364">
        <v>1</v>
      </c>
      <c r="O364" t="s">
        <v>40</v>
      </c>
    </row>
    <row r="365" spans="1:15" x14ac:dyDescent="0.3">
      <c r="A365">
        <v>364</v>
      </c>
      <c r="B365" t="s">
        <v>399</v>
      </c>
      <c r="C365">
        <v>59</v>
      </c>
      <c r="D365" t="s">
        <v>23</v>
      </c>
      <c r="E365" t="s">
        <v>45</v>
      </c>
      <c r="F365" t="s">
        <v>25</v>
      </c>
      <c r="G365" t="s">
        <v>26</v>
      </c>
      <c r="H365">
        <v>9</v>
      </c>
      <c r="I365">
        <v>1364</v>
      </c>
      <c r="J365">
        <v>5364</v>
      </c>
      <c r="K365">
        <v>53691</v>
      </c>
      <c r="L365" t="s">
        <v>38</v>
      </c>
      <c r="M365">
        <v>43</v>
      </c>
      <c r="N365">
        <v>1</v>
      </c>
      <c r="O365" t="s">
        <v>21</v>
      </c>
    </row>
    <row r="366" spans="1:15" x14ac:dyDescent="0.3">
      <c r="A366">
        <v>365</v>
      </c>
      <c r="B366" t="s">
        <v>400</v>
      </c>
      <c r="C366">
        <v>35</v>
      </c>
      <c r="D366" t="s">
        <v>16</v>
      </c>
      <c r="E366" t="s">
        <v>24</v>
      </c>
      <c r="F366" t="s">
        <v>33</v>
      </c>
      <c r="G366" t="s">
        <v>29</v>
      </c>
      <c r="H366">
        <v>17</v>
      </c>
      <c r="I366">
        <v>1365</v>
      </c>
      <c r="J366">
        <v>5365</v>
      </c>
      <c r="K366">
        <v>21125</v>
      </c>
      <c r="L366" t="s">
        <v>20</v>
      </c>
      <c r="M366">
        <v>25</v>
      </c>
      <c r="N366">
        <v>1</v>
      </c>
      <c r="O366" t="s">
        <v>40</v>
      </c>
    </row>
    <row r="367" spans="1:15" x14ac:dyDescent="0.3">
      <c r="A367">
        <v>366</v>
      </c>
      <c r="B367" t="s">
        <v>401</v>
      </c>
      <c r="C367">
        <v>32</v>
      </c>
      <c r="D367" t="s">
        <v>16</v>
      </c>
      <c r="E367" t="s">
        <v>24</v>
      </c>
      <c r="F367" t="s">
        <v>33</v>
      </c>
      <c r="G367" t="s">
        <v>29</v>
      </c>
      <c r="H367">
        <v>7</v>
      </c>
      <c r="I367">
        <v>1366</v>
      </c>
      <c r="J367">
        <v>5366</v>
      </c>
      <c r="K367">
        <v>87065</v>
      </c>
      <c r="L367" t="s">
        <v>20</v>
      </c>
      <c r="M367">
        <v>60</v>
      </c>
      <c r="N367">
        <v>2</v>
      </c>
      <c r="O367" t="s">
        <v>21</v>
      </c>
    </row>
    <row r="368" spans="1:15" x14ac:dyDescent="0.3">
      <c r="A368">
        <v>367</v>
      </c>
      <c r="B368" t="s">
        <v>402</v>
      </c>
      <c r="C368">
        <v>49</v>
      </c>
      <c r="D368" t="s">
        <v>23</v>
      </c>
      <c r="E368" t="s">
        <v>45</v>
      </c>
      <c r="F368" t="s">
        <v>46</v>
      </c>
      <c r="G368" t="s">
        <v>29</v>
      </c>
      <c r="H368">
        <v>10</v>
      </c>
      <c r="I368">
        <v>1367</v>
      </c>
      <c r="J368">
        <v>5367</v>
      </c>
      <c r="K368">
        <v>46170</v>
      </c>
      <c r="L368" t="s">
        <v>27</v>
      </c>
      <c r="M368">
        <v>90</v>
      </c>
      <c r="N368">
        <v>2</v>
      </c>
      <c r="O368" t="s">
        <v>40</v>
      </c>
    </row>
    <row r="369" spans="1:15" x14ac:dyDescent="0.3">
      <c r="A369">
        <v>368</v>
      </c>
      <c r="B369" t="s">
        <v>403</v>
      </c>
      <c r="C369">
        <v>38</v>
      </c>
      <c r="D369" t="s">
        <v>16</v>
      </c>
      <c r="E369" t="s">
        <v>17</v>
      </c>
      <c r="F369" t="s">
        <v>33</v>
      </c>
      <c r="G369" t="s">
        <v>26</v>
      </c>
      <c r="H369">
        <v>1</v>
      </c>
      <c r="I369">
        <v>1368</v>
      </c>
      <c r="J369">
        <v>5368</v>
      </c>
      <c r="K369">
        <v>28438</v>
      </c>
      <c r="L369" t="s">
        <v>38</v>
      </c>
      <c r="M369">
        <v>65</v>
      </c>
      <c r="N369">
        <v>4</v>
      </c>
      <c r="O369" t="s">
        <v>36</v>
      </c>
    </row>
    <row r="370" spans="1:15" x14ac:dyDescent="0.3">
      <c r="A370">
        <v>369</v>
      </c>
      <c r="B370" t="s">
        <v>404</v>
      </c>
      <c r="C370">
        <v>36</v>
      </c>
      <c r="D370" t="s">
        <v>16</v>
      </c>
      <c r="E370" t="s">
        <v>17</v>
      </c>
      <c r="F370" t="s">
        <v>25</v>
      </c>
      <c r="G370" t="s">
        <v>19</v>
      </c>
      <c r="H370">
        <v>7</v>
      </c>
      <c r="I370">
        <v>1369</v>
      </c>
      <c r="J370">
        <v>5369</v>
      </c>
      <c r="K370">
        <v>40095</v>
      </c>
      <c r="L370" t="s">
        <v>27</v>
      </c>
      <c r="M370">
        <v>84</v>
      </c>
      <c r="N370">
        <v>4</v>
      </c>
      <c r="O370" t="s">
        <v>31</v>
      </c>
    </row>
    <row r="371" spans="1:15" x14ac:dyDescent="0.3">
      <c r="A371">
        <v>370</v>
      </c>
      <c r="B371" t="s">
        <v>405</v>
      </c>
      <c r="C371">
        <v>38</v>
      </c>
      <c r="D371" t="s">
        <v>16</v>
      </c>
      <c r="E371" t="s">
        <v>45</v>
      </c>
      <c r="F371" t="s">
        <v>33</v>
      </c>
      <c r="G371" t="s">
        <v>26</v>
      </c>
      <c r="H371">
        <v>7</v>
      </c>
      <c r="I371">
        <v>1370</v>
      </c>
      <c r="J371">
        <v>5370</v>
      </c>
      <c r="K371">
        <v>36154</v>
      </c>
      <c r="L371" t="s">
        <v>20</v>
      </c>
      <c r="M371">
        <v>28</v>
      </c>
      <c r="N371">
        <v>1</v>
      </c>
      <c r="O371" t="s">
        <v>36</v>
      </c>
    </row>
    <row r="372" spans="1:15" x14ac:dyDescent="0.3">
      <c r="A372">
        <v>371</v>
      </c>
      <c r="B372" t="s">
        <v>406</v>
      </c>
      <c r="C372">
        <v>47</v>
      </c>
      <c r="D372" t="s">
        <v>23</v>
      </c>
      <c r="E372" t="s">
        <v>43</v>
      </c>
      <c r="F372" t="s">
        <v>25</v>
      </c>
      <c r="G372" t="s">
        <v>29</v>
      </c>
      <c r="H372">
        <v>16</v>
      </c>
      <c r="I372">
        <v>1371</v>
      </c>
      <c r="J372">
        <v>5371</v>
      </c>
      <c r="K372">
        <v>28004</v>
      </c>
      <c r="L372" t="s">
        <v>30</v>
      </c>
      <c r="M372">
        <v>16</v>
      </c>
      <c r="N372">
        <v>3</v>
      </c>
      <c r="O372" t="s">
        <v>21</v>
      </c>
    </row>
    <row r="373" spans="1:15" x14ac:dyDescent="0.3">
      <c r="A373">
        <v>372</v>
      </c>
      <c r="B373" t="s">
        <v>407</v>
      </c>
      <c r="C373">
        <v>45</v>
      </c>
      <c r="D373" t="s">
        <v>23</v>
      </c>
      <c r="E373" t="s">
        <v>24</v>
      </c>
      <c r="F373" t="s">
        <v>25</v>
      </c>
      <c r="G373" t="s">
        <v>26</v>
      </c>
      <c r="H373">
        <v>14</v>
      </c>
      <c r="I373">
        <v>1372</v>
      </c>
      <c r="J373">
        <v>5372</v>
      </c>
      <c r="K373">
        <v>29752</v>
      </c>
      <c r="L373" t="s">
        <v>38</v>
      </c>
      <c r="M373">
        <v>47</v>
      </c>
      <c r="N373">
        <v>1</v>
      </c>
      <c r="O373" t="s">
        <v>36</v>
      </c>
    </row>
    <row r="374" spans="1:15" x14ac:dyDescent="0.3">
      <c r="A374">
        <v>373</v>
      </c>
      <c r="B374" t="s">
        <v>408</v>
      </c>
      <c r="C374">
        <v>56</v>
      </c>
      <c r="D374" t="s">
        <v>16</v>
      </c>
      <c r="E374" t="s">
        <v>45</v>
      </c>
      <c r="F374" t="s">
        <v>33</v>
      </c>
      <c r="G374" t="s">
        <v>26</v>
      </c>
      <c r="H374">
        <v>16</v>
      </c>
      <c r="I374">
        <v>1373</v>
      </c>
      <c r="J374">
        <v>5373</v>
      </c>
      <c r="K374">
        <v>75426</v>
      </c>
      <c r="L374" t="s">
        <v>30</v>
      </c>
      <c r="M374">
        <v>81</v>
      </c>
      <c r="N374">
        <v>3</v>
      </c>
      <c r="O374" t="s">
        <v>21</v>
      </c>
    </row>
    <row r="375" spans="1:15" x14ac:dyDescent="0.3">
      <c r="A375">
        <v>374</v>
      </c>
      <c r="B375" t="s">
        <v>409</v>
      </c>
      <c r="C375">
        <v>45</v>
      </c>
      <c r="D375" t="s">
        <v>23</v>
      </c>
      <c r="E375" t="s">
        <v>24</v>
      </c>
      <c r="F375" t="s">
        <v>46</v>
      </c>
      <c r="G375" t="s">
        <v>19</v>
      </c>
      <c r="H375">
        <v>12</v>
      </c>
      <c r="I375">
        <v>1374</v>
      </c>
      <c r="J375">
        <v>5374</v>
      </c>
      <c r="K375">
        <v>46819</v>
      </c>
      <c r="L375" t="s">
        <v>38</v>
      </c>
      <c r="M375">
        <v>92</v>
      </c>
      <c r="N375">
        <v>1</v>
      </c>
      <c r="O375" t="s">
        <v>40</v>
      </c>
    </row>
    <row r="376" spans="1:15" x14ac:dyDescent="0.3">
      <c r="A376">
        <v>375</v>
      </c>
      <c r="B376" t="s">
        <v>410</v>
      </c>
      <c r="C376">
        <v>42</v>
      </c>
      <c r="D376" t="s">
        <v>16</v>
      </c>
      <c r="E376" t="s">
        <v>43</v>
      </c>
      <c r="F376" t="s">
        <v>18</v>
      </c>
      <c r="G376" t="s">
        <v>19</v>
      </c>
      <c r="H376">
        <v>18</v>
      </c>
      <c r="I376">
        <v>1375</v>
      </c>
      <c r="J376">
        <v>5375</v>
      </c>
      <c r="K376">
        <v>112051</v>
      </c>
      <c r="L376" t="s">
        <v>27</v>
      </c>
      <c r="M376">
        <v>58</v>
      </c>
      <c r="N376">
        <v>4</v>
      </c>
      <c r="O376" t="s">
        <v>40</v>
      </c>
    </row>
    <row r="377" spans="1:15" x14ac:dyDescent="0.3">
      <c r="A377">
        <v>376</v>
      </c>
      <c r="B377" t="s">
        <v>411</v>
      </c>
      <c r="C377">
        <v>28</v>
      </c>
      <c r="D377" t="s">
        <v>16</v>
      </c>
      <c r="E377" t="s">
        <v>24</v>
      </c>
      <c r="F377" t="s">
        <v>33</v>
      </c>
      <c r="G377" t="s">
        <v>29</v>
      </c>
      <c r="H377">
        <v>4</v>
      </c>
      <c r="I377">
        <v>1376</v>
      </c>
      <c r="J377">
        <v>5376</v>
      </c>
      <c r="K377">
        <v>44217</v>
      </c>
      <c r="L377" t="s">
        <v>27</v>
      </c>
      <c r="M377">
        <v>76</v>
      </c>
      <c r="N377">
        <v>4</v>
      </c>
      <c r="O377" t="s">
        <v>21</v>
      </c>
    </row>
    <row r="378" spans="1:15" x14ac:dyDescent="0.3">
      <c r="A378">
        <v>377</v>
      </c>
      <c r="B378" t="s">
        <v>412</v>
      </c>
      <c r="C378">
        <v>31</v>
      </c>
      <c r="D378" t="s">
        <v>16</v>
      </c>
      <c r="E378" t="s">
        <v>45</v>
      </c>
      <c r="F378" t="s">
        <v>25</v>
      </c>
      <c r="G378" t="s">
        <v>26</v>
      </c>
      <c r="H378">
        <v>11</v>
      </c>
      <c r="I378">
        <v>1377</v>
      </c>
      <c r="J378">
        <v>5377</v>
      </c>
      <c r="K378">
        <v>108708</v>
      </c>
      <c r="L378" t="s">
        <v>27</v>
      </c>
      <c r="M378">
        <v>27</v>
      </c>
      <c r="N378">
        <v>3</v>
      </c>
      <c r="O378" t="s">
        <v>36</v>
      </c>
    </row>
    <row r="379" spans="1:15" x14ac:dyDescent="0.3">
      <c r="A379">
        <v>378</v>
      </c>
      <c r="B379" t="s">
        <v>413</v>
      </c>
      <c r="C379">
        <v>20</v>
      </c>
      <c r="D379" t="s">
        <v>16</v>
      </c>
      <c r="E379" t="s">
        <v>24</v>
      </c>
      <c r="F379" t="s">
        <v>25</v>
      </c>
      <c r="G379" t="s">
        <v>26</v>
      </c>
      <c r="H379">
        <v>0</v>
      </c>
      <c r="I379">
        <v>1378</v>
      </c>
      <c r="J379">
        <v>5378</v>
      </c>
      <c r="K379">
        <v>52994</v>
      </c>
      <c r="L379" t="s">
        <v>27</v>
      </c>
      <c r="M379">
        <v>53</v>
      </c>
      <c r="N379">
        <v>1</v>
      </c>
      <c r="O379" t="s">
        <v>40</v>
      </c>
    </row>
    <row r="380" spans="1:15" x14ac:dyDescent="0.3">
      <c r="A380">
        <v>379</v>
      </c>
      <c r="B380" t="s">
        <v>414</v>
      </c>
      <c r="C380">
        <v>20</v>
      </c>
      <c r="D380" t="s">
        <v>23</v>
      </c>
      <c r="E380" t="s">
        <v>17</v>
      </c>
      <c r="F380" t="s">
        <v>33</v>
      </c>
      <c r="G380" t="s">
        <v>19</v>
      </c>
      <c r="H380">
        <v>4</v>
      </c>
      <c r="I380">
        <v>1379</v>
      </c>
      <c r="J380">
        <v>5379</v>
      </c>
      <c r="K380">
        <v>35036</v>
      </c>
      <c r="L380" t="s">
        <v>27</v>
      </c>
      <c r="M380">
        <v>42</v>
      </c>
      <c r="N380">
        <v>3</v>
      </c>
      <c r="O380" t="s">
        <v>31</v>
      </c>
    </row>
    <row r="381" spans="1:15" x14ac:dyDescent="0.3">
      <c r="A381">
        <v>380</v>
      </c>
      <c r="B381" t="s">
        <v>415</v>
      </c>
      <c r="C381">
        <v>53</v>
      </c>
      <c r="D381" t="s">
        <v>23</v>
      </c>
      <c r="E381" t="s">
        <v>43</v>
      </c>
      <c r="F381" t="s">
        <v>46</v>
      </c>
      <c r="G381" t="s">
        <v>26</v>
      </c>
      <c r="H381">
        <v>7</v>
      </c>
      <c r="I381">
        <v>1380</v>
      </c>
      <c r="J381">
        <v>5380</v>
      </c>
      <c r="K381">
        <v>97275</v>
      </c>
      <c r="L381" t="s">
        <v>30</v>
      </c>
      <c r="M381">
        <v>59</v>
      </c>
      <c r="N381">
        <v>4</v>
      </c>
      <c r="O381" t="s">
        <v>40</v>
      </c>
    </row>
    <row r="382" spans="1:15" x14ac:dyDescent="0.3">
      <c r="A382">
        <v>381</v>
      </c>
      <c r="B382" t="s">
        <v>416</v>
      </c>
      <c r="C382">
        <v>51</v>
      </c>
      <c r="D382" t="s">
        <v>23</v>
      </c>
      <c r="E382" t="s">
        <v>43</v>
      </c>
      <c r="F382" t="s">
        <v>46</v>
      </c>
      <c r="G382" t="s">
        <v>26</v>
      </c>
      <c r="H382">
        <v>12</v>
      </c>
      <c r="I382">
        <v>1381</v>
      </c>
      <c r="J382">
        <v>5381</v>
      </c>
      <c r="K382">
        <v>117756</v>
      </c>
      <c r="L382" t="s">
        <v>27</v>
      </c>
      <c r="M382">
        <v>47</v>
      </c>
      <c r="N382">
        <v>1</v>
      </c>
      <c r="O382" t="s">
        <v>31</v>
      </c>
    </row>
    <row r="383" spans="1:15" x14ac:dyDescent="0.3">
      <c r="A383">
        <v>382</v>
      </c>
      <c r="B383" t="s">
        <v>417</v>
      </c>
      <c r="C383">
        <v>44</v>
      </c>
      <c r="D383" t="s">
        <v>16</v>
      </c>
      <c r="E383" t="s">
        <v>43</v>
      </c>
      <c r="F383" t="s">
        <v>25</v>
      </c>
      <c r="G383" t="s">
        <v>26</v>
      </c>
      <c r="H383">
        <v>7</v>
      </c>
      <c r="I383">
        <v>1382</v>
      </c>
      <c r="J383">
        <v>5382</v>
      </c>
      <c r="K383">
        <v>69416</v>
      </c>
      <c r="L383" t="s">
        <v>20</v>
      </c>
      <c r="M383">
        <v>94</v>
      </c>
      <c r="N383">
        <v>1</v>
      </c>
      <c r="O383" t="s">
        <v>36</v>
      </c>
    </row>
    <row r="384" spans="1:15" x14ac:dyDescent="0.3">
      <c r="A384">
        <v>383</v>
      </c>
      <c r="B384" t="s">
        <v>418</v>
      </c>
      <c r="C384">
        <v>59</v>
      </c>
      <c r="D384" t="s">
        <v>23</v>
      </c>
      <c r="E384" t="s">
        <v>45</v>
      </c>
      <c r="F384" t="s">
        <v>25</v>
      </c>
      <c r="G384" t="s">
        <v>19</v>
      </c>
      <c r="H384">
        <v>10</v>
      </c>
      <c r="I384">
        <v>1383</v>
      </c>
      <c r="J384">
        <v>5383</v>
      </c>
      <c r="K384">
        <v>29587</v>
      </c>
      <c r="L384" t="s">
        <v>20</v>
      </c>
      <c r="M384">
        <v>34</v>
      </c>
      <c r="N384">
        <v>3</v>
      </c>
      <c r="O384" t="s">
        <v>31</v>
      </c>
    </row>
    <row r="385" spans="1:15" x14ac:dyDescent="0.3">
      <c r="A385">
        <v>384</v>
      </c>
      <c r="B385" t="s">
        <v>419</v>
      </c>
      <c r="C385">
        <v>20</v>
      </c>
      <c r="D385" t="s">
        <v>16</v>
      </c>
      <c r="E385" t="s">
        <v>43</v>
      </c>
      <c r="F385" t="s">
        <v>46</v>
      </c>
      <c r="G385" t="s">
        <v>29</v>
      </c>
      <c r="H385">
        <v>0</v>
      </c>
      <c r="I385">
        <v>1384</v>
      </c>
      <c r="J385">
        <v>5384</v>
      </c>
      <c r="K385">
        <v>115665</v>
      </c>
      <c r="L385" t="s">
        <v>30</v>
      </c>
      <c r="M385">
        <v>37</v>
      </c>
      <c r="N385">
        <v>2</v>
      </c>
      <c r="O385" t="s">
        <v>31</v>
      </c>
    </row>
    <row r="386" spans="1:15" x14ac:dyDescent="0.3">
      <c r="A386">
        <v>385</v>
      </c>
      <c r="B386" t="s">
        <v>420</v>
      </c>
      <c r="C386">
        <v>35</v>
      </c>
      <c r="D386" t="s">
        <v>23</v>
      </c>
      <c r="E386" t="s">
        <v>17</v>
      </c>
      <c r="F386" t="s">
        <v>18</v>
      </c>
      <c r="G386" t="s">
        <v>29</v>
      </c>
      <c r="H386">
        <v>12</v>
      </c>
      <c r="I386">
        <v>1385</v>
      </c>
      <c r="J386">
        <v>5385</v>
      </c>
      <c r="K386">
        <v>20645</v>
      </c>
      <c r="L386" t="s">
        <v>38</v>
      </c>
      <c r="M386">
        <v>6</v>
      </c>
      <c r="N386">
        <v>3</v>
      </c>
      <c r="O386" t="s">
        <v>31</v>
      </c>
    </row>
    <row r="387" spans="1:15" x14ac:dyDescent="0.3">
      <c r="A387">
        <v>386</v>
      </c>
      <c r="B387" t="s">
        <v>421</v>
      </c>
      <c r="C387">
        <v>58</v>
      </c>
      <c r="D387" t="s">
        <v>16</v>
      </c>
      <c r="E387" t="s">
        <v>45</v>
      </c>
      <c r="F387" t="s">
        <v>33</v>
      </c>
      <c r="G387" t="s">
        <v>26</v>
      </c>
      <c r="H387">
        <v>18</v>
      </c>
      <c r="I387">
        <v>1386</v>
      </c>
      <c r="J387">
        <v>5386</v>
      </c>
      <c r="K387">
        <v>50930</v>
      </c>
      <c r="L387" t="s">
        <v>20</v>
      </c>
      <c r="M387">
        <v>7</v>
      </c>
      <c r="N387">
        <v>4</v>
      </c>
      <c r="O387" t="s">
        <v>31</v>
      </c>
    </row>
    <row r="388" spans="1:15" x14ac:dyDescent="0.3">
      <c r="A388">
        <v>387</v>
      </c>
      <c r="B388" t="s">
        <v>422</v>
      </c>
      <c r="C388">
        <v>24</v>
      </c>
      <c r="D388" t="s">
        <v>16</v>
      </c>
      <c r="E388" t="s">
        <v>17</v>
      </c>
      <c r="F388" t="s">
        <v>25</v>
      </c>
      <c r="G388" t="s">
        <v>29</v>
      </c>
      <c r="H388">
        <v>2</v>
      </c>
      <c r="I388">
        <v>1387</v>
      </c>
      <c r="J388">
        <v>5387</v>
      </c>
      <c r="K388">
        <v>101835</v>
      </c>
      <c r="L388" t="s">
        <v>38</v>
      </c>
      <c r="M388">
        <v>96</v>
      </c>
      <c r="N388">
        <v>4</v>
      </c>
      <c r="O388" t="s">
        <v>40</v>
      </c>
    </row>
    <row r="389" spans="1:15" x14ac:dyDescent="0.3">
      <c r="A389">
        <v>388</v>
      </c>
      <c r="B389" t="s">
        <v>423</v>
      </c>
      <c r="C389">
        <v>41</v>
      </c>
      <c r="D389" t="s">
        <v>16</v>
      </c>
      <c r="E389" t="s">
        <v>24</v>
      </c>
      <c r="F389" t="s">
        <v>25</v>
      </c>
      <c r="G389" t="s">
        <v>19</v>
      </c>
      <c r="H389">
        <v>16</v>
      </c>
      <c r="I389">
        <v>1388</v>
      </c>
      <c r="J389">
        <v>5388</v>
      </c>
      <c r="K389">
        <v>50090</v>
      </c>
      <c r="L389" t="s">
        <v>30</v>
      </c>
      <c r="M389">
        <v>96</v>
      </c>
      <c r="N389">
        <v>4</v>
      </c>
      <c r="O389" t="s">
        <v>31</v>
      </c>
    </row>
    <row r="390" spans="1:15" x14ac:dyDescent="0.3">
      <c r="A390">
        <v>389</v>
      </c>
      <c r="B390" t="s">
        <v>424</v>
      </c>
      <c r="C390">
        <v>48</v>
      </c>
      <c r="D390" t="s">
        <v>23</v>
      </c>
      <c r="E390" t="s">
        <v>24</v>
      </c>
      <c r="F390" t="s">
        <v>46</v>
      </c>
      <c r="G390" t="s">
        <v>19</v>
      </c>
      <c r="H390">
        <v>4</v>
      </c>
      <c r="I390">
        <v>1389</v>
      </c>
      <c r="J390">
        <v>5389</v>
      </c>
      <c r="K390">
        <v>107489</v>
      </c>
      <c r="L390" t="s">
        <v>38</v>
      </c>
      <c r="M390">
        <v>25</v>
      </c>
      <c r="N390">
        <v>4</v>
      </c>
      <c r="O390" t="s">
        <v>40</v>
      </c>
    </row>
    <row r="391" spans="1:15" x14ac:dyDescent="0.3">
      <c r="A391">
        <v>390</v>
      </c>
      <c r="B391" t="s">
        <v>425</v>
      </c>
      <c r="C391">
        <v>22</v>
      </c>
      <c r="D391" t="s">
        <v>23</v>
      </c>
      <c r="E391" t="s">
        <v>24</v>
      </c>
      <c r="F391" t="s">
        <v>33</v>
      </c>
      <c r="G391" t="s">
        <v>29</v>
      </c>
      <c r="H391">
        <v>19</v>
      </c>
      <c r="I391">
        <v>1390</v>
      </c>
      <c r="J391">
        <v>5390</v>
      </c>
      <c r="K391">
        <v>72142</v>
      </c>
      <c r="L391" t="s">
        <v>38</v>
      </c>
      <c r="M391">
        <v>33</v>
      </c>
      <c r="N391">
        <v>4</v>
      </c>
      <c r="O391" t="s">
        <v>31</v>
      </c>
    </row>
    <row r="392" spans="1:15" x14ac:dyDescent="0.3">
      <c r="A392">
        <v>391</v>
      </c>
      <c r="B392" t="s">
        <v>426</v>
      </c>
      <c r="C392">
        <v>31</v>
      </c>
      <c r="D392" t="s">
        <v>23</v>
      </c>
      <c r="E392" t="s">
        <v>24</v>
      </c>
      <c r="F392" t="s">
        <v>46</v>
      </c>
      <c r="G392" t="s">
        <v>29</v>
      </c>
      <c r="H392">
        <v>7</v>
      </c>
      <c r="I392">
        <v>1391</v>
      </c>
      <c r="J392">
        <v>5391</v>
      </c>
      <c r="K392">
        <v>46475</v>
      </c>
      <c r="L392" t="s">
        <v>38</v>
      </c>
      <c r="M392">
        <v>55</v>
      </c>
      <c r="N392">
        <v>2</v>
      </c>
      <c r="O392" t="s">
        <v>21</v>
      </c>
    </row>
    <row r="393" spans="1:15" x14ac:dyDescent="0.3">
      <c r="A393">
        <v>392</v>
      </c>
      <c r="B393" t="s">
        <v>427</v>
      </c>
      <c r="C393">
        <v>45</v>
      </c>
      <c r="D393" t="s">
        <v>23</v>
      </c>
      <c r="E393" t="s">
        <v>17</v>
      </c>
      <c r="F393" t="s">
        <v>33</v>
      </c>
      <c r="G393" t="s">
        <v>26</v>
      </c>
      <c r="H393">
        <v>13</v>
      </c>
      <c r="I393">
        <v>1392</v>
      </c>
      <c r="J393">
        <v>5392</v>
      </c>
      <c r="K393">
        <v>38888</v>
      </c>
      <c r="L393" t="s">
        <v>38</v>
      </c>
      <c r="M393">
        <v>58</v>
      </c>
      <c r="N393">
        <v>1</v>
      </c>
      <c r="O393" t="s">
        <v>36</v>
      </c>
    </row>
    <row r="394" spans="1:15" x14ac:dyDescent="0.3">
      <c r="A394">
        <v>393</v>
      </c>
      <c r="B394" t="s">
        <v>428</v>
      </c>
      <c r="C394">
        <v>35</v>
      </c>
      <c r="D394" t="s">
        <v>16</v>
      </c>
      <c r="E394" t="s">
        <v>45</v>
      </c>
      <c r="F394" t="s">
        <v>33</v>
      </c>
      <c r="G394" t="s">
        <v>29</v>
      </c>
      <c r="H394">
        <v>3</v>
      </c>
      <c r="I394">
        <v>1393</v>
      </c>
      <c r="J394">
        <v>5393</v>
      </c>
      <c r="K394">
        <v>63732</v>
      </c>
      <c r="L394" t="s">
        <v>30</v>
      </c>
      <c r="M394">
        <v>7</v>
      </c>
      <c r="N394">
        <v>3</v>
      </c>
      <c r="O394" t="s">
        <v>31</v>
      </c>
    </row>
    <row r="395" spans="1:15" x14ac:dyDescent="0.3">
      <c r="A395">
        <v>394</v>
      </c>
      <c r="B395" t="s">
        <v>429</v>
      </c>
      <c r="C395">
        <v>56</v>
      </c>
      <c r="D395" t="s">
        <v>23</v>
      </c>
      <c r="E395" t="s">
        <v>45</v>
      </c>
      <c r="F395" t="s">
        <v>33</v>
      </c>
      <c r="G395" t="s">
        <v>26</v>
      </c>
      <c r="H395">
        <v>10</v>
      </c>
      <c r="I395">
        <v>1394</v>
      </c>
      <c r="J395">
        <v>5394</v>
      </c>
      <c r="K395">
        <v>101623</v>
      </c>
      <c r="L395" t="s">
        <v>20</v>
      </c>
      <c r="M395">
        <v>57</v>
      </c>
      <c r="N395">
        <v>3</v>
      </c>
      <c r="O395" t="s">
        <v>21</v>
      </c>
    </row>
    <row r="396" spans="1:15" x14ac:dyDescent="0.3">
      <c r="A396">
        <v>395</v>
      </c>
      <c r="B396" t="s">
        <v>430</v>
      </c>
      <c r="C396">
        <v>41</v>
      </c>
      <c r="D396" t="s">
        <v>23</v>
      </c>
      <c r="E396" t="s">
        <v>43</v>
      </c>
      <c r="F396" t="s">
        <v>25</v>
      </c>
      <c r="G396" t="s">
        <v>26</v>
      </c>
      <c r="H396">
        <v>19</v>
      </c>
      <c r="I396">
        <v>1395</v>
      </c>
      <c r="J396">
        <v>5395</v>
      </c>
      <c r="K396">
        <v>66305</v>
      </c>
      <c r="L396" t="s">
        <v>27</v>
      </c>
      <c r="M396">
        <v>12</v>
      </c>
      <c r="N396">
        <v>4</v>
      </c>
      <c r="O396" t="s">
        <v>31</v>
      </c>
    </row>
    <row r="397" spans="1:15" x14ac:dyDescent="0.3">
      <c r="A397">
        <v>396</v>
      </c>
      <c r="B397" t="s">
        <v>431</v>
      </c>
      <c r="C397">
        <v>48</v>
      </c>
      <c r="D397" t="s">
        <v>16</v>
      </c>
      <c r="E397" t="s">
        <v>17</v>
      </c>
      <c r="F397" t="s">
        <v>18</v>
      </c>
      <c r="G397" t="s">
        <v>19</v>
      </c>
      <c r="H397">
        <v>14</v>
      </c>
      <c r="I397">
        <v>1396</v>
      </c>
      <c r="J397">
        <v>5396</v>
      </c>
      <c r="K397">
        <v>66037</v>
      </c>
      <c r="L397" t="s">
        <v>38</v>
      </c>
      <c r="M397">
        <v>16</v>
      </c>
      <c r="N397">
        <v>3</v>
      </c>
      <c r="O397" t="s">
        <v>31</v>
      </c>
    </row>
    <row r="398" spans="1:15" x14ac:dyDescent="0.3">
      <c r="A398">
        <v>397</v>
      </c>
      <c r="B398" t="s">
        <v>432</v>
      </c>
      <c r="C398">
        <v>33</v>
      </c>
      <c r="D398" t="s">
        <v>16</v>
      </c>
      <c r="E398" t="s">
        <v>24</v>
      </c>
      <c r="F398" t="s">
        <v>46</v>
      </c>
      <c r="G398" t="s">
        <v>19</v>
      </c>
      <c r="H398">
        <v>18</v>
      </c>
      <c r="I398">
        <v>1397</v>
      </c>
      <c r="J398">
        <v>5397</v>
      </c>
      <c r="K398">
        <v>29346</v>
      </c>
      <c r="L398" t="s">
        <v>20</v>
      </c>
      <c r="M398">
        <v>80</v>
      </c>
      <c r="N398">
        <v>4</v>
      </c>
      <c r="O398" t="s">
        <v>31</v>
      </c>
    </row>
    <row r="399" spans="1:15" x14ac:dyDescent="0.3">
      <c r="A399">
        <v>398</v>
      </c>
      <c r="B399" t="s">
        <v>433</v>
      </c>
      <c r="C399">
        <v>47</v>
      </c>
      <c r="D399" t="s">
        <v>16</v>
      </c>
      <c r="E399" t="s">
        <v>17</v>
      </c>
      <c r="F399" t="s">
        <v>18</v>
      </c>
      <c r="G399" t="s">
        <v>19</v>
      </c>
      <c r="H399">
        <v>6</v>
      </c>
      <c r="I399">
        <v>1398</v>
      </c>
      <c r="J399">
        <v>5398</v>
      </c>
      <c r="K399">
        <v>20587</v>
      </c>
      <c r="L399" t="s">
        <v>20</v>
      </c>
      <c r="M399">
        <v>43</v>
      </c>
      <c r="N399">
        <v>2</v>
      </c>
      <c r="O399" t="s">
        <v>21</v>
      </c>
    </row>
    <row r="400" spans="1:15" x14ac:dyDescent="0.3">
      <c r="A400">
        <v>399</v>
      </c>
      <c r="B400" t="s">
        <v>434</v>
      </c>
      <c r="C400">
        <v>24</v>
      </c>
      <c r="D400" t="s">
        <v>23</v>
      </c>
      <c r="E400" t="s">
        <v>43</v>
      </c>
      <c r="F400" t="s">
        <v>46</v>
      </c>
      <c r="G400" t="s">
        <v>19</v>
      </c>
      <c r="H400">
        <v>18</v>
      </c>
      <c r="I400">
        <v>1399</v>
      </c>
      <c r="J400">
        <v>5399</v>
      </c>
      <c r="K400">
        <v>32763</v>
      </c>
      <c r="L400" t="s">
        <v>30</v>
      </c>
      <c r="M400">
        <v>77</v>
      </c>
      <c r="N400">
        <v>2</v>
      </c>
      <c r="O400" t="s">
        <v>36</v>
      </c>
    </row>
    <row r="401" spans="1:15" x14ac:dyDescent="0.3">
      <c r="A401">
        <v>400</v>
      </c>
      <c r="B401" t="s">
        <v>435</v>
      </c>
      <c r="C401">
        <v>49</v>
      </c>
      <c r="D401" t="s">
        <v>16</v>
      </c>
      <c r="E401" t="s">
        <v>43</v>
      </c>
      <c r="F401" t="s">
        <v>33</v>
      </c>
      <c r="G401" t="s">
        <v>29</v>
      </c>
      <c r="H401">
        <v>18</v>
      </c>
      <c r="I401">
        <v>1400</v>
      </c>
      <c r="J401">
        <v>5400</v>
      </c>
      <c r="K401">
        <v>79165</v>
      </c>
      <c r="L401" t="s">
        <v>20</v>
      </c>
      <c r="M401">
        <v>7</v>
      </c>
      <c r="N401">
        <v>1</v>
      </c>
      <c r="O401" t="s">
        <v>21</v>
      </c>
    </row>
    <row r="402" spans="1:15" x14ac:dyDescent="0.3">
      <c r="A402">
        <v>401</v>
      </c>
      <c r="B402" t="s">
        <v>436</v>
      </c>
      <c r="C402">
        <v>24</v>
      </c>
      <c r="D402" t="s">
        <v>16</v>
      </c>
      <c r="E402" t="s">
        <v>17</v>
      </c>
      <c r="F402" t="s">
        <v>25</v>
      </c>
      <c r="G402" t="s">
        <v>19</v>
      </c>
      <c r="H402">
        <v>10</v>
      </c>
      <c r="I402">
        <v>1401</v>
      </c>
      <c r="J402">
        <v>5401</v>
      </c>
      <c r="K402">
        <v>89615</v>
      </c>
      <c r="L402" t="s">
        <v>30</v>
      </c>
      <c r="M402">
        <v>51</v>
      </c>
      <c r="N402">
        <v>2</v>
      </c>
      <c r="O402" t="s">
        <v>36</v>
      </c>
    </row>
    <row r="403" spans="1:15" x14ac:dyDescent="0.3">
      <c r="A403">
        <v>402</v>
      </c>
      <c r="B403" t="s">
        <v>437</v>
      </c>
      <c r="C403">
        <v>31</v>
      </c>
      <c r="D403" t="s">
        <v>16</v>
      </c>
      <c r="E403" t="s">
        <v>17</v>
      </c>
      <c r="F403" t="s">
        <v>18</v>
      </c>
      <c r="G403" t="s">
        <v>29</v>
      </c>
      <c r="H403">
        <v>4</v>
      </c>
      <c r="I403">
        <v>1402</v>
      </c>
      <c r="J403">
        <v>5402</v>
      </c>
      <c r="K403">
        <v>56116</v>
      </c>
      <c r="L403" t="s">
        <v>38</v>
      </c>
      <c r="M403">
        <v>73</v>
      </c>
      <c r="N403">
        <v>2</v>
      </c>
      <c r="O403" t="s">
        <v>31</v>
      </c>
    </row>
    <row r="404" spans="1:15" x14ac:dyDescent="0.3">
      <c r="A404">
        <v>403</v>
      </c>
      <c r="B404" t="s">
        <v>438</v>
      </c>
      <c r="C404">
        <v>35</v>
      </c>
      <c r="D404" t="s">
        <v>23</v>
      </c>
      <c r="E404" t="s">
        <v>17</v>
      </c>
      <c r="F404" t="s">
        <v>25</v>
      </c>
      <c r="G404" t="s">
        <v>19</v>
      </c>
      <c r="H404">
        <v>4</v>
      </c>
      <c r="I404">
        <v>1403</v>
      </c>
      <c r="J404">
        <v>5403</v>
      </c>
      <c r="K404">
        <v>105751</v>
      </c>
      <c r="L404" t="s">
        <v>38</v>
      </c>
      <c r="M404">
        <v>32</v>
      </c>
      <c r="N404">
        <v>1</v>
      </c>
      <c r="O404" t="s">
        <v>40</v>
      </c>
    </row>
    <row r="405" spans="1:15" x14ac:dyDescent="0.3">
      <c r="A405">
        <v>404</v>
      </c>
      <c r="B405" t="s">
        <v>439</v>
      </c>
      <c r="C405">
        <v>45</v>
      </c>
      <c r="D405" t="s">
        <v>16</v>
      </c>
      <c r="E405" t="s">
        <v>45</v>
      </c>
      <c r="F405" t="s">
        <v>46</v>
      </c>
      <c r="G405" t="s">
        <v>29</v>
      </c>
      <c r="H405">
        <v>7</v>
      </c>
      <c r="I405">
        <v>1404</v>
      </c>
      <c r="J405">
        <v>5404</v>
      </c>
      <c r="K405">
        <v>111353</v>
      </c>
      <c r="L405" t="s">
        <v>27</v>
      </c>
      <c r="M405">
        <v>75</v>
      </c>
      <c r="N405">
        <v>3</v>
      </c>
      <c r="O405" t="s">
        <v>31</v>
      </c>
    </row>
    <row r="406" spans="1:15" x14ac:dyDescent="0.3">
      <c r="A406">
        <v>405</v>
      </c>
      <c r="B406" t="s">
        <v>440</v>
      </c>
      <c r="C406">
        <v>45</v>
      </c>
      <c r="D406" t="s">
        <v>23</v>
      </c>
      <c r="E406" t="s">
        <v>24</v>
      </c>
      <c r="F406" t="s">
        <v>25</v>
      </c>
      <c r="G406" t="s">
        <v>26</v>
      </c>
      <c r="H406">
        <v>9</v>
      </c>
      <c r="I406">
        <v>1405</v>
      </c>
      <c r="J406">
        <v>5405</v>
      </c>
      <c r="K406">
        <v>110301</v>
      </c>
      <c r="L406" t="s">
        <v>27</v>
      </c>
      <c r="M406">
        <v>8</v>
      </c>
      <c r="N406">
        <v>4</v>
      </c>
      <c r="O406" t="s">
        <v>36</v>
      </c>
    </row>
    <row r="407" spans="1:15" x14ac:dyDescent="0.3">
      <c r="A407">
        <v>406</v>
      </c>
      <c r="B407" t="s">
        <v>441</v>
      </c>
      <c r="C407">
        <v>40</v>
      </c>
      <c r="D407" t="s">
        <v>23</v>
      </c>
      <c r="E407" t="s">
        <v>17</v>
      </c>
      <c r="F407" t="s">
        <v>25</v>
      </c>
      <c r="G407" t="s">
        <v>29</v>
      </c>
      <c r="H407">
        <v>5</v>
      </c>
      <c r="I407">
        <v>1406</v>
      </c>
      <c r="J407">
        <v>5406</v>
      </c>
      <c r="K407">
        <v>115648</v>
      </c>
      <c r="L407" t="s">
        <v>27</v>
      </c>
      <c r="M407">
        <v>97</v>
      </c>
      <c r="N407">
        <v>4</v>
      </c>
      <c r="O407" t="s">
        <v>21</v>
      </c>
    </row>
    <row r="408" spans="1:15" x14ac:dyDescent="0.3">
      <c r="A408">
        <v>407</v>
      </c>
      <c r="B408" t="s">
        <v>442</v>
      </c>
      <c r="C408">
        <v>58</v>
      </c>
      <c r="D408" t="s">
        <v>16</v>
      </c>
      <c r="E408" t="s">
        <v>17</v>
      </c>
      <c r="F408" t="s">
        <v>18</v>
      </c>
      <c r="G408" t="s">
        <v>29</v>
      </c>
      <c r="H408">
        <v>14</v>
      </c>
      <c r="I408">
        <v>1407</v>
      </c>
      <c r="J408">
        <v>5407</v>
      </c>
      <c r="K408">
        <v>45556</v>
      </c>
      <c r="L408" t="s">
        <v>20</v>
      </c>
      <c r="M408">
        <v>87</v>
      </c>
      <c r="N408">
        <v>3</v>
      </c>
      <c r="O408" t="s">
        <v>31</v>
      </c>
    </row>
    <row r="409" spans="1:15" x14ac:dyDescent="0.3">
      <c r="A409">
        <v>408</v>
      </c>
      <c r="B409" t="s">
        <v>443</v>
      </c>
      <c r="C409">
        <v>55</v>
      </c>
      <c r="D409" t="s">
        <v>16</v>
      </c>
      <c r="E409" t="s">
        <v>17</v>
      </c>
      <c r="F409" t="s">
        <v>33</v>
      </c>
      <c r="G409" t="s">
        <v>19</v>
      </c>
      <c r="H409">
        <v>15</v>
      </c>
      <c r="I409">
        <v>1408</v>
      </c>
      <c r="J409">
        <v>5408</v>
      </c>
      <c r="K409">
        <v>79042</v>
      </c>
      <c r="L409" t="s">
        <v>38</v>
      </c>
      <c r="M409">
        <v>89</v>
      </c>
      <c r="N409">
        <v>1</v>
      </c>
      <c r="O409" t="s">
        <v>21</v>
      </c>
    </row>
    <row r="410" spans="1:15" x14ac:dyDescent="0.3">
      <c r="A410">
        <v>409</v>
      </c>
      <c r="B410" t="s">
        <v>444</v>
      </c>
      <c r="C410">
        <v>52</v>
      </c>
      <c r="D410" t="s">
        <v>23</v>
      </c>
      <c r="E410" t="s">
        <v>43</v>
      </c>
      <c r="F410" t="s">
        <v>25</v>
      </c>
      <c r="G410" t="s">
        <v>29</v>
      </c>
      <c r="H410">
        <v>16</v>
      </c>
      <c r="I410">
        <v>1409</v>
      </c>
      <c r="J410">
        <v>5409</v>
      </c>
      <c r="K410">
        <v>38099</v>
      </c>
      <c r="L410" t="s">
        <v>30</v>
      </c>
      <c r="M410">
        <v>72</v>
      </c>
      <c r="N410">
        <v>3</v>
      </c>
      <c r="O410" t="s">
        <v>21</v>
      </c>
    </row>
    <row r="411" spans="1:15" x14ac:dyDescent="0.3">
      <c r="A411">
        <v>410</v>
      </c>
      <c r="B411" t="s">
        <v>445</v>
      </c>
      <c r="C411">
        <v>49</v>
      </c>
      <c r="D411" t="s">
        <v>16</v>
      </c>
      <c r="E411" t="s">
        <v>43</v>
      </c>
      <c r="F411" t="s">
        <v>33</v>
      </c>
      <c r="G411" t="s">
        <v>26</v>
      </c>
      <c r="H411">
        <v>7</v>
      </c>
      <c r="I411">
        <v>1410</v>
      </c>
      <c r="J411">
        <v>5410</v>
      </c>
      <c r="K411">
        <v>65096</v>
      </c>
      <c r="L411" t="s">
        <v>27</v>
      </c>
      <c r="M411">
        <v>45</v>
      </c>
      <c r="N411">
        <v>2</v>
      </c>
      <c r="O411" t="s">
        <v>21</v>
      </c>
    </row>
    <row r="412" spans="1:15" x14ac:dyDescent="0.3">
      <c r="A412">
        <v>411</v>
      </c>
      <c r="B412" t="s">
        <v>446</v>
      </c>
      <c r="C412">
        <v>56</v>
      </c>
      <c r="D412" t="s">
        <v>16</v>
      </c>
      <c r="E412" t="s">
        <v>45</v>
      </c>
      <c r="F412" t="s">
        <v>46</v>
      </c>
      <c r="G412" t="s">
        <v>26</v>
      </c>
      <c r="H412">
        <v>7</v>
      </c>
      <c r="I412">
        <v>1411</v>
      </c>
      <c r="J412">
        <v>5411</v>
      </c>
      <c r="K412">
        <v>91986</v>
      </c>
      <c r="L412" t="s">
        <v>30</v>
      </c>
      <c r="M412">
        <v>86</v>
      </c>
      <c r="N412">
        <v>1</v>
      </c>
      <c r="O412" t="s">
        <v>31</v>
      </c>
    </row>
    <row r="413" spans="1:15" x14ac:dyDescent="0.3">
      <c r="A413">
        <v>412</v>
      </c>
      <c r="B413" t="s">
        <v>447</v>
      </c>
      <c r="C413">
        <v>42</v>
      </c>
      <c r="D413" t="s">
        <v>23</v>
      </c>
      <c r="E413" t="s">
        <v>24</v>
      </c>
      <c r="F413" t="s">
        <v>25</v>
      </c>
      <c r="G413" t="s">
        <v>19</v>
      </c>
      <c r="H413">
        <v>8</v>
      </c>
      <c r="I413">
        <v>1412</v>
      </c>
      <c r="J413">
        <v>5412</v>
      </c>
      <c r="K413">
        <v>33230</v>
      </c>
      <c r="L413" t="s">
        <v>30</v>
      </c>
      <c r="M413">
        <v>59</v>
      </c>
      <c r="N413">
        <v>1</v>
      </c>
      <c r="O413" t="s">
        <v>21</v>
      </c>
    </row>
    <row r="414" spans="1:15" x14ac:dyDescent="0.3">
      <c r="A414">
        <v>413</v>
      </c>
      <c r="B414" t="s">
        <v>448</v>
      </c>
      <c r="C414">
        <v>29</v>
      </c>
      <c r="D414" t="s">
        <v>23</v>
      </c>
      <c r="E414" t="s">
        <v>45</v>
      </c>
      <c r="F414" t="s">
        <v>18</v>
      </c>
      <c r="G414" t="s">
        <v>26</v>
      </c>
      <c r="H414">
        <v>1</v>
      </c>
      <c r="I414">
        <v>1413</v>
      </c>
      <c r="J414">
        <v>5413</v>
      </c>
      <c r="K414">
        <v>49009</v>
      </c>
      <c r="L414" t="s">
        <v>27</v>
      </c>
      <c r="M414">
        <v>4</v>
      </c>
      <c r="N414">
        <v>1</v>
      </c>
      <c r="O414" t="s">
        <v>21</v>
      </c>
    </row>
    <row r="415" spans="1:15" x14ac:dyDescent="0.3">
      <c r="A415">
        <v>414</v>
      </c>
      <c r="B415" t="s">
        <v>449</v>
      </c>
      <c r="C415">
        <v>24</v>
      </c>
      <c r="D415" t="s">
        <v>16</v>
      </c>
      <c r="E415" t="s">
        <v>24</v>
      </c>
      <c r="F415" t="s">
        <v>46</v>
      </c>
      <c r="G415" t="s">
        <v>29</v>
      </c>
      <c r="H415">
        <v>14</v>
      </c>
      <c r="I415">
        <v>1414</v>
      </c>
      <c r="J415">
        <v>5414</v>
      </c>
      <c r="K415">
        <v>90969</v>
      </c>
      <c r="L415" t="s">
        <v>38</v>
      </c>
      <c r="M415">
        <v>67</v>
      </c>
      <c r="N415">
        <v>4</v>
      </c>
      <c r="O415" t="s">
        <v>31</v>
      </c>
    </row>
    <row r="416" spans="1:15" x14ac:dyDescent="0.3">
      <c r="A416">
        <v>415</v>
      </c>
      <c r="B416" t="s">
        <v>450</v>
      </c>
      <c r="C416">
        <v>55</v>
      </c>
      <c r="D416" t="s">
        <v>23</v>
      </c>
      <c r="E416" t="s">
        <v>43</v>
      </c>
      <c r="F416" t="s">
        <v>46</v>
      </c>
      <c r="G416" t="s">
        <v>26</v>
      </c>
      <c r="H416">
        <v>17</v>
      </c>
      <c r="I416">
        <v>1415</v>
      </c>
      <c r="J416">
        <v>5415</v>
      </c>
      <c r="K416">
        <v>53866</v>
      </c>
      <c r="L416" t="s">
        <v>27</v>
      </c>
      <c r="M416">
        <v>29</v>
      </c>
      <c r="N416">
        <v>3</v>
      </c>
      <c r="O416" t="s">
        <v>21</v>
      </c>
    </row>
    <row r="417" spans="1:15" x14ac:dyDescent="0.3">
      <c r="A417">
        <v>416</v>
      </c>
      <c r="B417" t="s">
        <v>451</v>
      </c>
      <c r="C417">
        <v>53</v>
      </c>
      <c r="D417" t="s">
        <v>16</v>
      </c>
      <c r="E417" t="s">
        <v>43</v>
      </c>
      <c r="F417" t="s">
        <v>18</v>
      </c>
      <c r="G417" t="s">
        <v>19</v>
      </c>
      <c r="H417">
        <v>2</v>
      </c>
      <c r="I417">
        <v>1416</v>
      </c>
      <c r="J417">
        <v>5416</v>
      </c>
      <c r="K417">
        <v>104246</v>
      </c>
      <c r="L417" t="s">
        <v>30</v>
      </c>
      <c r="M417">
        <v>29</v>
      </c>
      <c r="N417">
        <v>1</v>
      </c>
      <c r="O417" t="s">
        <v>31</v>
      </c>
    </row>
    <row r="418" spans="1:15" x14ac:dyDescent="0.3">
      <c r="A418">
        <v>417</v>
      </c>
      <c r="B418" t="s">
        <v>452</v>
      </c>
      <c r="C418">
        <v>50</v>
      </c>
      <c r="D418" t="s">
        <v>16</v>
      </c>
      <c r="E418" t="s">
        <v>43</v>
      </c>
      <c r="F418" t="s">
        <v>25</v>
      </c>
      <c r="G418" t="s">
        <v>29</v>
      </c>
      <c r="H418">
        <v>16</v>
      </c>
      <c r="I418">
        <v>1417</v>
      </c>
      <c r="J418">
        <v>5417</v>
      </c>
      <c r="K418">
        <v>96975</v>
      </c>
      <c r="L418" t="s">
        <v>27</v>
      </c>
      <c r="M418">
        <v>98</v>
      </c>
      <c r="N418">
        <v>1</v>
      </c>
      <c r="O418" t="s">
        <v>36</v>
      </c>
    </row>
    <row r="419" spans="1:15" x14ac:dyDescent="0.3">
      <c r="A419">
        <v>418</v>
      </c>
      <c r="B419" t="s">
        <v>453</v>
      </c>
      <c r="C419">
        <v>29</v>
      </c>
      <c r="D419" t="s">
        <v>16</v>
      </c>
      <c r="E419" t="s">
        <v>45</v>
      </c>
      <c r="F419" t="s">
        <v>25</v>
      </c>
      <c r="G419" t="s">
        <v>19</v>
      </c>
      <c r="H419">
        <v>3</v>
      </c>
      <c r="I419">
        <v>1418</v>
      </c>
      <c r="J419">
        <v>5418</v>
      </c>
      <c r="K419">
        <v>61855</v>
      </c>
      <c r="L419" t="s">
        <v>30</v>
      </c>
      <c r="M419">
        <v>98</v>
      </c>
      <c r="N419">
        <v>1</v>
      </c>
      <c r="O419" t="s">
        <v>36</v>
      </c>
    </row>
    <row r="420" spans="1:15" x14ac:dyDescent="0.3">
      <c r="A420">
        <v>419</v>
      </c>
      <c r="B420" t="s">
        <v>454</v>
      </c>
      <c r="C420">
        <v>38</v>
      </c>
      <c r="D420" t="s">
        <v>23</v>
      </c>
      <c r="E420" t="s">
        <v>17</v>
      </c>
      <c r="F420" t="s">
        <v>46</v>
      </c>
      <c r="G420" t="s">
        <v>29</v>
      </c>
      <c r="H420">
        <v>3</v>
      </c>
      <c r="I420">
        <v>1419</v>
      </c>
      <c r="J420">
        <v>5419</v>
      </c>
      <c r="K420">
        <v>101557</v>
      </c>
      <c r="L420" t="s">
        <v>30</v>
      </c>
      <c r="M420">
        <v>28</v>
      </c>
      <c r="N420">
        <v>3</v>
      </c>
      <c r="O420" t="s">
        <v>36</v>
      </c>
    </row>
    <row r="421" spans="1:15" x14ac:dyDescent="0.3">
      <c r="A421">
        <v>420</v>
      </c>
      <c r="B421" t="s">
        <v>455</v>
      </c>
      <c r="C421">
        <v>51</v>
      </c>
      <c r="D421" t="s">
        <v>16</v>
      </c>
      <c r="E421" t="s">
        <v>17</v>
      </c>
      <c r="F421" t="s">
        <v>25</v>
      </c>
      <c r="G421" t="s">
        <v>26</v>
      </c>
      <c r="H421">
        <v>13</v>
      </c>
      <c r="I421">
        <v>1420</v>
      </c>
      <c r="J421">
        <v>5420</v>
      </c>
      <c r="K421">
        <v>26416</v>
      </c>
      <c r="L421" t="s">
        <v>27</v>
      </c>
      <c r="M421">
        <v>77</v>
      </c>
      <c r="N421">
        <v>4</v>
      </c>
      <c r="O421" t="s">
        <v>21</v>
      </c>
    </row>
    <row r="422" spans="1:15" x14ac:dyDescent="0.3">
      <c r="A422">
        <v>421</v>
      </c>
      <c r="B422" t="s">
        <v>456</v>
      </c>
      <c r="C422">
        <v>20</v>
      </c>
      <c r="D422" t="s">
        <v>16</v>
      </c>
      <c r="E422" t="s">
        <v>43</v>
      </c>
      <c r="F422" t="s">
        <v>33</v>
      </c>
      <c r="G422" t="s">
        <v>19</v>
      </c>
      <c r="H422">
        <v>8</v>
      </c>
      <c r="I422">
        <v>1421</v>
      </c>
      <c r="J422">
        <v>5421</v>
      </c>
      <c r="K422">
        <v>92516</v>
      </c>
      <c r="L422" t="s">
        <v>20</v>
      </c>
      <c r="M422">
        <v>79</v>
      </c>
      <c r="N422">
        <v>2</v>
      </c>
      <c r="O422" t="s">
        <v>40</v>
      </c>
    </row>
    <row r="423" spans="1:15" x14ac:dyDescent="0.3">
      <c r="A423">
        <v>422</v>
      </c>
      <c r="B423" t="s">
        <v>457</v>
      </c>
      <c r="C423">
        <v>24</v>
      </c>
      <c r="D423" t="s">
        <v>16</v>
      </c>
      <c r="E423" t="s">
        <v>17</v>
      </c>
      <c r="F423" t="s">
        <v>18</v>
      </c>
      <c r="G423" t="s">
        <v>19</v>
      </c>
      <c r="H423">
        <v>8</v>
      </c>
      <c r="I423">
        <v>1422</v>
      </c>
      <c r="J423">
        <v>5422</v>
      </c>
      <c r="K423">
        <v>75915</v>
      </c>
      <c r="L423" t="s">
        <v>27</v>
      </c>
      <c r="M423">
        <v>87</v>
      </c>
      <c r="N423">
        <v>4</v>
      </c>
      <c r="O423" t="s">
        <v>40</v>
      </c>
    </row>
    <row r="424" spans="1:15" x14ac:dyDescent="0.3">
      <c r="A424">
        <v>423</v>
      </c>
      <c r="B424" t="s">
        <v>458</v>
      </c>
      <c r="C424">
        <v>23</v>
      </c>
      <c r="D424" t="s">
        <v>23</v>
      </c>
      <c r="E424" t="s">
        <v>17</v>
      </c>
      <c r="F424" t="s">
        <v>33</v>
      </c>
      <c r="G424" t="s">
        <v>29</v>
      </c>
      <c r="H424">
        <v>17</v>
      </c>
      <c r="I424">
        <v>1423</v>
      </c>
      <c r="J424">
        <v>5423</v>
      </c>
      <c r="K424">
        <v>38058</v>
      </c>
      <c r="L424" t="s">
        <v>20</v>
      </c>
      <c r="M424">
        <v>44</v>
      </c>
      <c r="N424">
        <v>1</v>
      </c>
      <c r="O424" t="s">
        <v>21</v>
      </c>
    </row>
    <row r="425" spans="1:15" x14ac:dyDescent="0.3">
      <c r="A425">
        <v>424</v>
      </c>
      <c r="B425" t="s">
        <v>459</v>
      </c>
      <c r="C425">
        <v>35</v>
      </c>
      <c r="D425" t="s">
        <v>23</v>
      </c>
      <c r="E425" t="s">
        <v>45</v>
      </c>
      <c r="F425" t="s">
        <v>25</v>
      </c>
      <c r="G425" t="s">
        <v>19</v>
      </c>
      <c r="H425">
        <v>9</v>
      </c>
      <c r="I425">
        <v>1424</v>
      </c>
      <c r="J425">
        <v>5424</v>
      </c>
      <c r="K425">
        <v>96637</v>
      </c>
      <c r="L425" t="s">
        <v>30</v>
      </c>
      <c r="M425">
        <v>90</v>
      </c>
      <c r="N425">
        <v>4</v>
      </c>
      <c r="O425" t="s">
        <v>40</v>
      </c>
    </row>
    <row r="426" spans="1:15" x14ac:dyDescent="0.3">
      <c r="A426">
        <v>425</v>
      </c>
      <c r="B426" t="s">
        <v>460</v>
      </c>
      <c r="C426">
        <v>43</v>
      </c>
      <c r="D426" t="s">
        <v>23</v>
      </c>
      <c r="E426" t="s">
        <v>24</v>
      </c>
      <c r="F426" t="s">
        <v>46</v>
      </c>
      <c r="G426" t="s">
        <v>29</v>
      </c>
      <c r="H426">
        <v>3</v>
      </c>
      <c r="I426">
        <v>1425</v>
      </c>
      <c r="J426">
        <v>5425</v>
      </c>
      <c r="K426">
        <v>60718</v>
      </c>
      <c r="L426" t="s">
        <v>30</v>
      </c>
      <c r="M426">
        <v>4</v>
      </c>
      <c r="N426">
        <v>4</v>
      </c>
      <c r="O426" t="s">
        <v>31</v>
      </c>
    </row>
    <row r="427" spans="1:15" x14ac:dyDescent="0.3">
      <c r="A427">
        <v>426</v>
      </c>
      <c r="B427" t="s">
        <v>461</v>
      </c>
      <c r="C427">
        <v>35</v>
      </c>
      <c r="D427" t="s">
        <v>23</v>
      </c>
      <c r="E427" t="s">
        <v>43</v>
      </c>
      <c r="F427" t="s">
        <v>18</v>
      </c>
      <c r="G427" t="s">
        <v>29</v>
      </c>
      <c r="H427">
        <v>11</v>
      </c>
      <c r="I427">
        <v>1426</v>
      </c>
      <c r="J427">
        <v>5426</v>
      </c>
      <c r="K427">
        <v>52602</v>
      </c>
      <c r="L427" t="s">
        <v>20</v>
      </c>
      <c r="M427">
        <v>90</v>
      </c>
      <c r="N427">
        <v>2</v>
      </c>
      <c r="O427" t="s">
        <v>40</v>
      </c>
    </row>
    <row r="428" spans="1:15" x14ac:dyDescent="0.3">
      <c r="A428">
        <v>427</v>
      </c>
      <c r="B428" t="s">
        <v>462</v>
      </c>
      <c r="C428">
        <v>21</v>
      </c>
      <c r="D428" t="s">
        <v>23</v>
      </c>
      <c r="E428" t="s">
        <v>43</v>
      </c>
      <c r="F428" t="s">
        <v>25</v>
      </c>
      <c r="G428" t="s">
        <v>29</v>
      </c>
      <c r="H428">
        <v>7</v>
      </c>
      <c r="I428">
        <v>1427</v>
      </c>
      <c r="J428">
        <v>5427</v>
      </c>
      <c r="K428">
        <v>94658</v>
      </c>
      <c r="L428" t="s">
        <v>30</v>
      </c>
      <c r="M428">
        <v>9</v>
      </c>
      <c r="N428">
        <v>3</v>
      </c>
      <c r="O428" t="s">
        <v>21</v>
      </c>
    </row>
    <row r="429" spans="1:15" x14ac:dyDescent="0.3">
      <c r="A429">
        <v>428</v>
      </c>
      <c r="B429" t="s">
        <v>463</v>
      </c>
      <c r="C429">
        <v>47</v>
      </c>
      <c r="D429" t="s">
        <v>16</v>
      </c>
      <c r="E429" t="s">
        <v>45</v>
      </c>
      <c r="F429" t="s">
        <v>25</v>
      </c>
      <c r="G429" t="s">
        <v>29</v>
      </c>
      <c r="H429">
        <v>1</v>
      </c>
      <c r="I429">
        <v>1428</v>
      </c>
      <c r="J429">
        <v>5428</v>
      </c>
      <c r="K429">
        <v>98112</v>
      </c>
      <c r="L429" t="s">
        <v>20</v>
      </c>
      <c r="M429">
        <v>5</v>
      </c>
      <c r="N429">
        <v>3</v>
      </c>
      <c r="O429" t="s">
        <v>21</v>
      </c>
    </row>
    <row r="430" spans="1:15" x14ac:dyDescent="0.3">
      <c r="A430">
        <v>429</v>
      </c>
      <c r="B430" t="s">
        <v>464</v>
      </c>
      <c r="C430">
        <v>51</v>
      </c>
      <c r="D430" t="s">
        <v>23</v>
      </c>
      <c r="E430" t="s">
        <v>45</v>
      </c>
      <c r="F430" t="s">
        <v>46</v>
      </c>
      <c r="G430" t="s">
        <v>26</v>
      </c>
      <c r="H430">
        <v>12</v>
      </c>
      <c r="I430">
        <v>1429</v>
      </c>
      <c r="J430">
        <v>5429</v>
      </c>
      <c r="K430">
        <v>78067</v>
      </c>
      <c r="L430" t="s">
        <v>20</v>
      </c>
      <c r="M430">
        <v>56</v>
      </c>
      <c r="N430">
        <v>4</v>
      </c>
      <c r="O430" t="s">
        <v>31</v>
      </c>
    </row>
    <row r="431" spans="1:15" x14ac:dyDescent="0.3">
      <c r="A431">
        <v>430</v>
      </c>
      <c r="B431" t="s">
        <v>465</v>
      </c>
      <c r="C431">
        <v>46</v>
      </c>
      <c r="D431" t="s">
        <v>23</v>
      </c>
      <c r="E431" t="s">
        <v>17</v>
      </c>
      <c r="F431" t="s">
        <v>46</v>
      </c>
      <c r="G431" t="s">
        <v>29</v>
      </c>
      <c r="H431">
        <v>15</v>
      </c>
      <c r="I431">
        <v>1430</v>
      </c>
      <c r="J431">
        <v>5430</v>
      </c>
      <c r="K431">
        <v>47516</v>
      </c>
      <c r="L431" t="s">
        <v>30</v>
      </c>
      <c r="M431">
        <v>96</v>
      </c>
      <c r="N431">
        <v>4</v>
      </c>
      <c r="O431" t="s">
        <v>36</v>
      </c>
    </row>
    <row r="432" spans="1:15" x14ac:dyDescent="0.3">
      <c r="A432">
        <v>431</v>
      </c>
      <c r="B432" t="s">
        <v>466</v>
      </c>
      <c r="C432">
        <v>39</v>
      </c>
      <c r="D432" t="s">
        <v>23</v>
      </c>
      <c r="E432" t="s">
        <v>43</v>
      </c>
      <c r="F432" t="s">
        <v>33</v>
      </c>
      <c r="G432" t="s">
        <v>19</v>
      </c>
      <c r="H432">
        <v>1</v>
      </c>
      <c r="I432">
        <v>1431</v>
      </c>
      <c r="J432">
        <v>5431</v>
      </c>
      <c r="K432">
        <v>107969</v>
      </c>
      <c r="L432" t="s">
        <v>38</v>
      </c>
      <c r="M432">
        <v>84</v>
      </c>
      <c r="N432">
        <v>3</v>
      </c>
      <c r="O432" t="s">
        <v>21</v>
      </c>
    </row>
    <row r="433" spans="1:15" x14ac:dyDescent="0.3">
      <c r="A433">
        <v>432</v>
      </c>
      <c r="B433" t="s">
        <v>467</v>
      </c>
      <c r="C433">
        <v>43</v>
      </c>
      <c r="D433" t="s">
        <v>16</v>
      </c>
      <c r="E433" t="s">
        <v>24</v>
      </c>
      <c r="F433" t="s">
        <v>18</v>
      </c>
      <c r="G433" t="s">
        <v>26</v>
      </c>
      <c r="H433">
        <v>10</v>
      </c>
      <c r="I433">
        <v>1432</v>
      </c>
      <c r="J433">
        <v>5432</v>
      </c>
      <c r="K433">
        <v>21089</v>
      </c>
      <c r="L433" t="s">
        <v>20</v>
      </c>
      <c r="M433">
        <v>50</v>
      </c>
      <c r="N433">
        <v>3</v>
      </c>
      <c r="O433" t="s">
        <v>31</v>
      </c>
    </row>
    <row r="434" spans="1:15" x14ac:dyDescent="0.3">
      <c r="A434">
        <v>433</v>
      </c>
      <c r="B434" t="s">
        <v>468</v>
      </c>
      <c r="C434">
        <v>31</v>
      </c>
      <c r="D434" t="s">
        <v>23</v>
      </c>
      <c r="E434" t="s">
        <v>45</v>
      </c>
      <c r="F434" t="s">
        <v>18</v>
      </c>
      <c r="G434" t="s">
        <v>19</v>
      </c>
      <c r="H434">
        <v>9</v>
      </c>
      <c r="I434">
        <v>1433</v>
      </c>
      <c r="J434">
        <v>5433</v>
      </c>
      <c r="K434">
        <v>57346</v>
      </c>
      <c r="L434" t="s">
        <v>27</v>
      </c>
      <c r="M434">
        <v>75</v>
      </c>
      <c r="N434">
        <v>2</v>
      </c>
      <c r="O434" t="s">
        <v>40</v>
      </c>
    </row>
    <row r="435" spans="1:15" x14ac:dyDescent="0.3">
      <c r="A435">
        <v>434</v>
      </c>
      <c r="B435" t="s">
        <v>469</v>
      </c>
      <c r="C435">
        <v>54</v>
      </c>
      <c r="D435" t="s">
        <v>23</v>
      </c>
      <c r="E435" t="s">
        <v>24</v>
      </c>
      <c r="F435" t="s">
        <v>46</v>
      </c>
      <c r="G435" t="s">
        <v>26</v>
      </c>
      <c r="H435">
        <v>14</v>
      </c>
      <c r="I435">
        <v>1434</v>
      </c>
      <c r="J435">
        <v>5434</v>
      </c>
      <c r="K435">
        <v>94663</v>
      </c>
      <c r="L435" t="s">
        <v>27</v>
      </c>
      <c r="M435">
        <v>15</v>
      </c>
      <c r="N435">
        <v>1</v>
      </c>
      <c r="O435" t="s">
        <v>40</v>
      </c>
    </row>
    <row r="436" spans="1:15" x14ac:dyDescent="0.3">
      <c r="A436">
        <v>435</v>
      </c>
      <c r="B436" t="s">
        <v>470</v>
      </c>
      <c r="C436">
        <v>52</v>
      </c>
      <c r="D436" t="s">
        <v>16</v>
      </c>
      <c r="E436" t="s">
        <v>24</v>
      </c>
      <c r="F436" t="s">
        <v>33</v>
      </c>
      <c r="G436" t="s">
        <v>29</v>
      </c>
      <c r="H436">
        <v>16</v>
      </c>
      <c r="I436">
        <v>1435</v>
      </c>
      <c r="J436">
        <v>5435</v>
      </c>
      <c r="K436">
        <v>30487</v>
      </c>
      <c r="L436" t="s">
        <v>30</v>
      </c>
      <c r="M436">
        <v>32</v>
      </c>
      <c r="N436">
        <v>4</v>
      </c>
      <c r="O436" t="s">
        <v>31</v>
      </c>
    </row>
    <row r="437" spans="1:15" x14ac:dyDescent="0.3">
      <c r="A437">
        <v>436</v>
      </c>
      <c r="B437" t="s">
        <v>471</v>
      </c>
      <c r="C437">
        <v>52</v>
      </c>
      <c r="D437" t="s">
        <v>23</v>
      </c>
      <c r="E437" t="s">
        <v>43</v>
      </c>
      <c r="F437" t="s">
        <v>18</v>
      </c>
      <c r="G437" t="s">
        <v>26</v>
      </c>
      <c r="H437">
        <v>7</v>
      </c>
      <c r="I437">
        <v>1436</v>
      </c>
      <c r="J437">
        <v>5436</v>
      </c>
      <c r="K437">
        <v>20155</v>
      </c>
      <c r="L437" t="s">
        <v>38</v>
      </c>
      <c r="M437">
        <v>28</v>
      </c>
      <c r="N437">
        <v>3</v>
      </c>
      <c r="O437" t="s">
        <v>31</v>
      </c>
    </row>
    <row r="438" spans="1:15" x14ac:dyDescent="0.3">
      <c r="A438">
        <v>437</v>
      </c>
      <c r="B438" t="s">
        <v>472</v>
      </c>
      <c r="C438">
        <v>56</v>
      </c>
      <c r="D438" t="s">
        <v>16</v>
      </c>
      <c r="E438" t="s">
        <v>43</v>
      </c>
      <c r="F438" t="s">
        <v>46</v>
      </c>
      <c r="G438" t="s">
        <v>26</v>
      </c>
      <c r="H438">
        <v>17</v>
      </c>
      <c r="I438">
        <v>1437</v>
      </c>
      <c r="J438">
        <v>5437</v>
      </c>
      <c r="K438">
        <v>87494</v>
      </c>
      <c r="L438" t="s">
        <v>30</v>
      </c>
      <c r="M438">
        <v>22</v>
      </c>
      <c r="N438">
        <v>4</v>
      </c>
      <c r="O438" t="s">
        <v>21</v>
      </c>
    </row>
    <row r="439" spans="1:15" x14ac:dyDescent="0.3">
      <c r="A439">
        <v>438</v>
      </c>
      <c r="B439" t="s">
        <v>473</v>
      </c>
      <c r="C439">
        <v>31</v>
      </c>
      <c r="D439" t="s">
        <v>16</v>
      </c>
      <c r="E439" t="s">
        <v>45</v>
      </c>
      <c r="F439" t="s">
        <v>25</v>
      </c>
      <c r="G439" t="s">
        <v>19</v>
      </c>
      <c r="H439">
        <v>8</v>
      </c>
      <c r="I439">
        <v>1438</v>
      </c>
      <c r="J439">
        <v>5438</v>
      </c>
      <c r="K439">
        <v>96229</v>
      </c>
      <c r="L439" t="s">
        <v>38</v>
      </c>
      <c r="M439">
        <v>17</v>
      </c>
      <c r="N439">
        <v>4</v>
      </c>
      <c r="O439" t="s">
        <v>40</v>
      </c>
    </row>
    <row r="440" spans="1:15" x14ac:dyDescent="0.3">
      <c r="A440">
        <v>439</v>
      </c>
      <c r="B440" t="s">
        <v>474</v>
      </c>
      <c r="C440">
        <v>22</v>
      </c>
      <c r="D440" t="s">
        <v>16</v>
      </c>
      <c r="E440" t="s">
        <v>43</v>
      </c>
      <c r="F440" t="s">
        <v>18</v>
      </c>
      <c r="G440" t="s">
        <v>19</v>
      </c>
      <c r="H440">
        <v>7</v>
      </c>
      <c r="I440">
        <v>1439</v>
      </c>
      <c r="J440">
        <v>5439</v>
      </c>
      <c r="K440">
        <v>58547</v>
      </c>
      <c r="L440" t="s">
        <v>20</v>
      </c>
      <c r="M440">
        <v>59</v>
      </c>
      <c r="N440">
        <v>3</v>
      </c>
      <c r="O440" t="s">
        <v>31</v>
      </c>
    </row>
    <row r="441" spans="1:15" x14ac:dyDescent="0.3">
      <c r="A441">
        <v>440</v>
      </c>
      <c r="B441" t="s">
        <v>475</v>
      </c>
      <c r="C441">
        <v>20</v>
      </c>
      <c r="D441" t="s">
        <v>16</v>
      </c>
      <c r="E441" t="s">
        <v>43</v>
      </c>
      <c r="F441" t="s">
        <v>33</v>
      </c>
      <c r="G441" t="s">
        <v>29</v>
      </c>
      <c r="H441">
        <v>13</v>
      </c>
      <c r="I441">
        <v>1440</v>
      </c>
      <c r="J441">
        <v>5440</v>
      </c>
      <c r="K441">
        <v>48795</v>
      </c>
      <c r="L441" t="s">
        <v>20</v>
      </c>
      <c r="M441">
        <v>90</v>
      </c>
      <c r="N441">
        <v>2</v>
      </c>
      <c r="O441" t="s">
        <v>40</v>
      </c>
    </row>
    <row r="442" spans="1:15" x14ac:dyDescent="0.3">
      <c r="A442">
        <v>441</v>
      </c>
      <c r="B442" t="s">
        <v>476</v>
      </c>
      <c r="C442">
        <v>52</v>
      </c>
      <c r="D442" t="s">
        <v>16</v>
      </c>
      <c r="E442" t="s">
        <v>43</v>
      </c>
      <c r="F442" t="s">
        <v>33</v>
      </c>
      <c r="G442" t="s">
        <v>26</v>
      </c>
      <c r="H442">
        <v>17</v>
      </c>
      <c r="I442">
        <v>1441</v>
      </c>
      <c r="J442">
        <v>5441</v>
      </c>
      <c r="K442">
        <v>75296</v>
      </c>
      <c r="L442" t="s">
        <v>20</v>
      </c>
      <c r="M442">
        <v>71</v>
      </c>
      <c r="N442">
        <v>4</v>
      </c>
      <c r="O442" t="s">
        <v>31</v>
      </c>
    </row>
    <row r="443" spans="1:15" x14ac:dyDescent="0.3">
      <c r="A443">
        <v>442</v>
      </c>
      <c r="B443" t="s">
        <v>477</v>
      </c>
      <c r="C443">
        <v>59</v>
      </c>
      <c r="D443" t="s">
        <v>23</v>
      </c>
      <c r="E443" t="s">
        <v>24</v>
      </c>
      <c r="F443" t="s">
        <v>33</v>
      </c>
      <c r="G443" t="s">
        <v>26</v>
      </c>
      <c r="H443">
        <v>19</v>
      </c>
      <c r="I443">
        <v>1442</v>
      </c>
      <c r="J443">
        <v>5442</v>
      </c>
      <c r="K443">
        <v>41447</v>
      </c>
      <c r="L443" t="s">
        <v>20</v>
      </c>
      <c r="M443">
        <v>57</v>
      </c>
      <c r="N443">
        <v>2</v>
      </c>
      <c r="O443" t="s">
        <v>40</v>
      </c>
    </row>
    <row r="444" spans="1:15" x14ac:dyDescent="0.3">
      <c r="A444">
        <v>443</v>
      </c>
      <c r="B444" t="s">
        <v>478</v>
      </c>
      <c r="C444">
        <v>29</v>
      </c>
      <c r="D444" t="s">
        <v>16</v>
      </c>
      <c r="E444" t="s">
        <v>45</v>
      </c>
      <c r="F444" t="s">
        <v>25</v>
      </c>
      <c r="G444" t="s">
        <v>26</v>
      </c>
      <c r="H444">
        <v>19</v>
      </c>
      <c r="I444">
        <v>1443</v>
      </c>
      <c r="J444">
        <v>5443</v>
      </c>
      <c r="K444">
        <v>56598</v>
      </c>
      <c r="L444" t="s">
        <v>27</v>
      </c>
      <c r="M444">
        <v>26</v>
      </c>
      <c r="N444">
        <v>3</v>
      </c>
      <c r="O444" t="s">
        <v>36</v>
      </c>
    </row>
    <row r="445" spans="1:15" x14ac:dyDescent="0.3">
      <c r="A445">
        <v>444</v>
      </c>
      <c r="B445" t="s">
        <v>479</v>
      </c>
      <c r="C445">
        <v>48</v>
      </c>
      <c r="D445" t="s">
        <v>16</v>
      </c>
      <c r="E445" t="s">
        <v>17</v>
      </c>
      <c r="F445" t="s">
        <v>18</v>
      </c>
      <c r="G445" t="s">
        <v>29</v>
      </c>
      <c r="H445">
        <v>11</v>
      </c>
      <c r="I445">
        <v>1444</v>
      </c>
      <c r="J445">
        <v>5444</v>
      </c>
      <c r="K445">
        <v>61814</v>
      </c>
      <c r="L445" t="s">
        <v>27</v>
      </c>
      <c r="M445">
        <v>25</v>
      </c>
      <c r="N445">
        <v>1</v>
      </c>
      <c r="O445" t="s">
        <v>21</v>
      </c>
    </row>
    <row r="446" spans="1:15" x14ac:dyDescent="0.3">
      <c r="A446">
        <v>445</v>
      </c>
      <c r="B446" t="s">
        <v>480</v>
      </c>
      <c r="C446">
        <v>32</v>
      </c>
      <c r="D446" t="s">
        <v>23</v>
      </c>
      <c r="E446" t="s">
        <v>24</v>
      </c>
      <c r="F446" t="s">
        <v>18</v>
      </c>
      <c r="G446" t="s">
        <v>29</v>
      </c>
      <c r="H446">
        <v>18</v>
      </c>
      <c r="I446">
        <v>1445</v>
      </c>
      <c r="J446">
        <v>5445</v>
      </c>
      <c r="K446">
        <v>110751</v>
      </c>
      <c r="L446" t="s">
        <v>30</v>
      </c>
      <c r="M446">
        <v>10</v>
      </c>
      <c r="N446">
        <v>1</v>
      </c>
      <c r="O446" t="s">
        <v>40</v>
      </c>
    </row>
    <row r="447" spans="1:15" x14ac:dyDescent="0.3">
      <c r="A447">
        <v>446</v>
      </c>
      <c r="B447" t="s">
        <v>481</v>
      </c>
      <c r="C447">
        <v>31</v>
      </c>
      <c r="D447" t="s">
        <v>16</v>
      </c>
      <c r="E447" t="s">
        <v>43</v>
      </c>
      <c r="F447" t="s">
        <v>25</v>
      </c>
      <c r="G447" t="s">
        <v>29</v>
      </c>
      <c r="H447">
        <v>13</v>
      </c>
      <c r="I447">
        <v>1446</v>
      </c>
      <c r="J447">
        <v>5446</v>
      </c>
      <c r="K447">
        <v>95330</v>
      </c>
      <c r="L447" t="s">
        <v>38</v>
      </c>
      <c r="M447">
        <v>45</v>
      </c>
      <c r="N447">
        <v>4</v>
      </c>
      <c r="O447" t="s">
        <v>36</v>
      </c>
    </row>
    <row r="448" spans="1:15" x14ac:dyDescent="0.3">
      <c r="A448">
        <v>447</v>
      </c>
      <c r="B448" t="s">
        <v>482</v>
      </c>
      <c r="C448">
        <v>50</v>
      </c>
      <c r="D448" t="s">
        <v>23</v>
      </c>
      <c r="E448" t="s">
        <v>24</v>
      </c>
      <c r="F448" t="s">
        <v>18</v>
      </c>
      <c r="G448" t="s">
        <v>29</v>
      </c>
      <c r="H448">
        <v>16</v>
      </c>
      <c r="I448">
        <v>1447</v>
      </c>
      <c r="J448">
        <v>5447</v>
      </c>
      <c r="K448">
        <v>118745</v>
      </c>
      <c r="L448" t="s">
        <v>20</v>
      </c>
      <c r="M448">
        <v>83</v>
      </c>
      <c r="N448">
        <v>3</v>
      </c>
      <c r="O448" t="s">
        <v>40</v>
      </c>
    </row>
    <row r="449" spans="1:15" x14ac:dyDescent="0.3">
      <c r="A449">
        <v>448</v>
      </c>
      <c r="B449" t="s">
        <v>483</v>
      </c>
      <c r="C449">
        <v>21</v>
      </c>
      <c r="D449" t="s">
        <v>23</v>
      </c>
      <c r="E449" t="s">
        <v>43</v>
      </c>
      <c r="F449" t="s">
        <v>25</v>
      </c>
      <c r="G449" t="s">
        <v>29</v>
      </c>
      <c r="H449">
        <v>2</v>
      </c>
      <c r="I449">
        <v>1448</v>
      </c>
      <c r="J449">
        <v>5448</v>
      </c>
      <c r="K449">
        <v>107960</v>
      </c>
      <c r="L449" t="s">
        <v>20</v>
      </c>
      <c r="M449">
        <v>11</v>
      </c>
      <c r="N449">
        <v>2</v>
      </c>
      <c r="O449" t="s">
        <v>40</v>
      </c>
    </row>
    <row r="450" spans="1:15" x14ac:dyDescent="0.3">
      <c r="A450">
        <v>449</v>
      </c>
      <c r="B450" t="s">
        <v>484</v>
      </c>
      <c r="C450">
        <v>54</v>
      </c>
      <c r="D450" t="s">
        <v>23</v>
      </c>
      <c r="E450" t="s">
        <v>43</v>
      </c>
      <c r="F450" t="s">
        <v>25</v>
      </c>
      <c r="G450" t="s">
        <v>19</v>
      </c>
      <c r="H450">
        <v>6</v>
      </c>
      <c r="I450">
        <v>1449</v>
      </c>
      <c r="J450">
        <v>5449</v>
      </c>
      <c r="K450">
        <v>83278</v>
      </c>
      <c r="L450" t="s">
        <v>38</v>
      </c>
      <c r="M450">
        <v>77</v>
      </c>
      <c r="N450">
        <v>4</v>
      </c>
      <c r="O450" t="s">
        <v>36</v>
      </c>
    </row>
    <row r="451" spans="1:15" x14ac:dyDescent="0.3">
      <c r="A451">
        <v>450</v>
      </c>
      <c r="B451" t="s">
        <v>485</v>
      </c>
      <c r="C451">
        <v>42</v>
      </c>
      <c r="D451" t="s">
        <v>16</v>
      </c>
      <c r="E451" t="s">
        <v>24</v>
      </c>
      <c r="F451" t="s">
        <v>25</v>
      </c>
      <c r="G451" t="s">
        <v>26</v>
      </c>
      <c r="H451">
        <v>16</v>
      </c>
      <c r="I451">
        <v>1450</v>
      </c>
      <c r="J451">
        <v>5450</v>
      </c>
      <c r="K451">
        <v>75077</v>
      </c>
      <c r="L451" t="s">
        <v>38</v>
      </c>
      <c r="M451">
        <v>53</v>
      </c>
      <c r="N451">
        <v>3</v>
      </c>
      <c r="O451" t="s">
        <v>40</v>
      </c>
    </row>
    <row r="452" spans="1:15" x14ac:dyDescent="0.3">
      <c r="A452">
        <v>451</v>
      </c>
      <c r="B452" t="s">
        <v>486</v>
      </c>
      <c r="C452">
        <v>36</v>
      </c>
      <c r="D452" t="s">
        <v>16</v>
      </c>
      <c r="E452" t="s">
        <v>45</v>
      </c>
      <c r="F452" t="s">
        <v>33</v>
      </c>
      <c r="G452" t="s">
        <v>26</v>
      </c>
      <c r="H452">
        <v>11</v>
      </c>
      <c r="I452">
        <v>1451</v>
      </c>
      <c r="J452">
        <v>5451</v>
      </c>
      <c r="K452">
        <v>91906</v>
      </c>
      <c r="L452" t="s">
        <v>30</v>
      </c>
      <c r="M452">
        <v>72</v>
      </c>
      <c r="N452">
        <v>3</v>
      </c>
      <c r="O452" t="s">
        <v>40</v>
      </c>
    </row>
    <row r="453" spans="1:15" x14ac:dyDescent="0.3">
      <c r="A453">
        <v>452</v>
      </c>
      <c r="B453" t="s">
        <v>487</v>
      </c>
      <c r="C453">
        <v>45</v>
      </c>
      <c r="D453" t="s">
        <v>16</v>
      </c>
      <c r="E453" t="s">
        <v>43</v>
      </c>
      <c r="F453" t="s">
        <v>18</v>
      </c>
      <c r="G453" t="s">
        <v>26</v>
      </c>
      <c r="H453">
        <v>8</v>
      </c>
      <c r="I453">
        <v>1452</v>
      </c>
      <c r="J453">
        <v>5452</v>
      </c>
      <c r="K453">
        <v>29528</v>
      </c>
      <c r="L453" t="s">
        <v>38</v>
      </c>
      <c r="M453">
        <v>68</v>
      </c>
      <c r="N453">
        <v>2</v>
      </c>
      <c r="O453" t="s">
        <v>21</v>
      </c>
    </row>
    <row r="454" spans="1:15" x14ac:dyDescent="0.3">
      <c r="A454">
        <v>453</v>
      </c>
      <c r="B454" t="s">
        <v>488</v>
      </c>
      <c r="C454">
        <v>27</v>
      </c>
      <c r="D454" t="s">
        <v>23</v>
      </c>
      <c r="E454" t="s">
        <v>45</v>
      </c>
      <c r="F454" t="s">
        <v>25</v>
      </c>
      <c r="G454" t="s">
        <v>26</v>
      </c>
      <c r="H454">
        <v>14</v>
      </c>
      <c r="I454">
        <v>1453</v>
      </c>
      <c r="J454">
        <v>5453</v>
      </c>
      <c r="K454">
        <v>113812</v>
      </c>
      <c r="L454" t="s">
        <v>20</v>
      </c>
      <c r="M454">
        <v>95</v>
      </c>
      <c r="N454">
        <v>4</v>
      </c>
      <c r="O454" t="s">
        <v>36</v>
      </c>
    </row>
    <row r="455" spans="1:15" x14ac:dyDescent="0.3">
      <c r="A455">
        <v>454</v>
      </c>
      <c r="B455" t="s">
        <v>489</v>
      </c>
      <c r="C455">
        <v>48</v>
      </c>
      <c r="D455" t="s">
        <v>16</v>
      </c>
      <c r="E455" t="s">
        <v>17</v>
      </c>
      <c r="F455" t="s">
        <v>18</v>
      </c>
      <c r="G455" t="s">
        <v>26</v>
      </c>
      <c r="H455">
        <v>17</v>
      </c>
      <c r="I455">
        <v>1454</v>
      </c>
      <c r="J455">
        <v>5454</v>
      </c>
      <c r="K455">
        <v>70100</v>
      </c>
      <c r="L455" t="s">
        <v>20</v>
      </c>
      <c r="M455">
        <v>28</v>
      </c>
      <c r="N455">
        <v>3</v>
      </c>
      <c r="O455" t="s">
        <v>36</v>
      </c>
    </row>
    <row r="456" spans="1:15" x14ac:dyDescent="0.3">
      <c r="A456">
        <v>455</v>
      </c>
      <c r="B456" t="s">
        <v>490</v>
      </c>
      <c r="C456">
        <v>45</v>
      </c>
      <c r="D456" t="s">
        <v>16</v>
      </c>
      <c r="E456" t="s">
        <v>43</v>
      </c>
      <c r="F456" t="s">
        <v>33</v>
      </c>
      <c r="G456" t="s">
        <v>26</v>
      </c>
      <c r="H456">
        <v>12</v>
      </c>
      <c r="I456">
        <v>1455</v>
      </c>
      <c r="J456">
        <v>5455</v>
      </c>
      <c r="K456">
        <v>28179</v>
      </c>
      <c r="L456" t="s">
        <v>20</v>
      </c>
      <c r="M456">
        <v>75</v>
      </c>
      <c r="N456">
        <v>3</v>
      </c>
      <c r="O456" t="s">
        <v>31</v>
      </c>
    </row>
    <row r="457" spans="1:15" x14ac:dyDescent="0.3">
      <c r="A457">
        <v>456</v>
      </c>
      <c r="B457" t="s">
        <v>491</v>
      </c>
      <c r="C457">
        <v>29</v>
      </c>
      <c r="D457" t="s">
        <v>16</v>
      </c>
      <c r="E457" t="s">
        <v>45</v>
      </c>
      <c r="F457" t="s">
        <v>25</v>
      </c>
      <c r="G457" t="s">
        <v>26</v>
      </c>
      <c r="H457">
        <v>7</v>
      </c>
      <c r="I457">
        <v>1456</v>
      </c>
      <c r="J457">
        <v>5456</v>
      </c>
      <c r="K457">
        <v>68781</v>
      </c>
      <c r="L457" t="s">
        <v>20</v>
      </c>
      <c r="M457">
        <v>65</v>
      </c>
      <c r="N457">
        <v>3</v>
      </c>
      <c r="O457" t="s">
        <v>40</v>
      </c>
    </row>
    <row r="458" spans="1:15" x14ac:dyDescent="0.3">
      <c r="A458">
        <v>457</v>
      </c>
      <c r="B458" t="s">
        <v>492</v>
      </c>
      <c r="C458">
        <v>45</v>
      </c>
      <c r="D458" t="s">
        <v>23</v>
      </c>
      <c r="E458" t="s">
        <v>45</v>
      </c>
      <c r="F458" t="s">
        <v>46</v>
      </c>
      <c r="G458" t="s">
        <v>26</v>
      </c>
      <c r="H458">
        <v>13</v>
      </c>
      <c r="I458">
        <v>1457</v>
      </c>
      <c r="J458">
        <v>5457</v>
      </c>
      <c r="K458">
        <v>75267</v>
      </c>
      <c r="L458" t="s">
        <v>20</v>
      </c>
      <c r="M458">
        <v>49</v>
      </c>
      <c r="N458">
        <v>2</v>
      </c>
      <c r="O458" t="s">
        <v>21</v>
      </c>
    </row>
    <row r="459" spans="1:15" x14ac:dyDescent="0.3">
      <c r="A459">
        <v>458</v>
      </c>
      <c r="B459" t="s">
        <v>493</v>
      </c>
      <c r="C459">
        <v>53</v>
      </c>
      <c r="D459" t="s">
        <v>23</v>
      </c>
      <c r="E459" t="s">
        <v>17</v>
      </c>
      <c r="F459" t="s">
        <v>33</v>
      </c>
      <c r="G459" t="s">
        <v>19</v>
      </c>
      <c r="H459">
        <v>7</v>
      </c>
      <c r="I459">
        <v>1458</v>
      </c>
      <c r="J459">
        <v>5458</v>
      </c>
      <c r="K459">
        <v>102379</v>
      </c>
      <c r="L459" t="s">
        <v>30</v>
      </c>
      <c r="M459">
        <v>47</v>
      </c>
      <c r="N459">
        <v>4</v>
      </c>
      <c r="O459" t="s">
        <v>40</v>
      </c>
    </row>
    <row r="460" spans="1:15" x14ac:dyDescent="0.3">
      <c r="A460">
        <v>459</v>
      </c>
      <c r="B460" t="s">
        <v>494</v>
      </c>
      <c r="C460">
        <v>26</v>
      </c>
      <c r="D460" t="s">
        <v>16</v>
      </c>
      <c r="E460" t="s">
        <v>45</v>
      </c>
      <c r="F460" t="s">
        <v>46</v>
      </c>
      <c r="G460" t="s">
        <v>26</v>
      </c>
      <c r="H460">
        <v>13</v>
      </c>
      <c r="I460">
        <v>1459</v>
      </c>
      <c r="J460">
        <v>5459</v>
      </c>
      <c r="K460">
        <v>43952</v>
      </c>
      <c r="L460" t="s">
        <v>20</v>
      </c>
      <c r="M460">
        <v>52</v>
      </c>
      <c r="N460">
        <v>4</v>
      </c>
      <c r="O460" t="s">
        <v>40</v>
      </c>
    </row>
    <row r="461" spans="1:15" x14ac:dyDescent="0.3">
      <c r="A461">
        <v>460</v>
      </c>
      <c r="B461" t="s">
        <v>495</v>
      </c>
      <c r="C461">
        <v>23</v>
      </c>
      <c r="D461" t="s">
        <v>16</v>
      </c>
      <c r="E461" t="s">
        <v>45</v>
      </c>
      <c r="F461" t="s">
        <v>18</v>
      </c>
      <c r="G461" t="s">
        <v>19</v>
      </c>
      <c r="H461">
        <v>6</v>
      </c>
      <c r="I461">
        <v>1460</v>
      </c>
      <c r="J461">
        <v>5460</v>
      </c>
      <c r="K461">
        <v>73798</v>
      </c>
      <c r="L461" t="s">
        <v>30</v>
      </c>
      <c r="M461">
        <v>88</v>
      </c>
      <c r="N461">
        <v>4</v>
      </c>
      <c r="O461" t="s">
        <v>31</v>
      </c>
    </row>
    <row r="462" spans="1:15" x14ac:dyDescent="0.3">
      <c r="A462">
        <v>461</v>
      </c>
      <c r="B462" t="s">
        <v>496</v>
      </c>
      <c r="C462">
        <v>30</v>
      </c>
      <c r="D462" t="s">
        <v>16</v>
      </c>
      <c r="E462" t="s">
        <v>17</v>
      </c>
      <c r="F462" t="s">
        <v>18</v>
      </c>
      <c r="G462" t="s">
        <v>29</v>
      </c>
      <c r="H462">
        <v>11</v>
      </c>
      <c r="I462">
        <v>1461</v>
      </c>
      <c r="J462">
        <v>5461</v>
      </c>
      <c r="K462">
        <v>118696</v>
      </c>
      <c r="L462" t="s">
        <v>20</v>
      </c>
      <c r="M462">
        <v>54</v>
      </c>
      <c r="N462">
        <v>4</v>
      </c>
      <c r="O462" t="s">
        <v>40</v>
      </c>
    </row>
    <row r="463" spans="1:15" x14ac:dyDescent="0.3">
      <c r="A463">
        <v>462</v>
      </c>
      <c r="B463" t="s">
        <v>497</v>
      </c>
      <c r="C463">
        <v>48</v>
      </c>
      <c r="D463" t="s">
        <v>16</v>
      </c>
      <c r="E463" t="s">
        <v>43</v>
      </c>
      <c r="F463" t="s">
        <v>33</v>
      </c>
      <c r="G463" t="s">
        <v>26</v>
      </c>
      <c r="H463">
        <v>10</v>
      </c>
      <c r="I463">
        <v>1462</v>
      </c>
      <c r="J463">
        <v>5462</v>
      </c>
      <c r="K463">
        <v>70939</v>
      </c>
      <c r="L463" t="s">
        <v>27</v>
      </c>
      <c r="M463">
        <v>60</v>
      </c>
      <c r="N463">
        <v>1</v>
      </c>
      <c r="O463" t="s">
        <v>21</v>
      </c>
    </row>
    <row r="464" spans="1:15" x14ac:dyDescent="0.3">
      <c r="A464">
        <v>463</v>
      </c>
      <c r="B464" t="s">
        <v>498</v>
      </c>
      <c r="C464">
        <v>55</v>
      </c>
      <c r="D464" t="s">
        <v>23</v>
      </c>
      <c r="E464" t="s">
        <v>45</v>
      </c>
      <c r="F464" t="s">
        <v>18</v>
      </c>
      <c r="G464" t="s">
        <v>29</v>
      </c>
      <c r="H464">
        <v>10</v>
      </c>
      <c r="I464">
        <v>1463</v>
      </c>
      <c r="J464">
        <v>5463</v>
      </c>
      <c r="K464">
        <v>49516</v>
      </c>
      <c r="L464" t="s">
        <v>27</v>
      </c>
      <c r="M464">
        <v>57</v>
      </c>
      <c r="N464">
        <v>1</v>
      </c>
      <c r="O464" t="s">
        <v>21</v>
      </c>
    </row>
    <row r="465" spans="1:15" x14ac:dyDescent="0.3">
      <c r="A465">
        <v>464</v>
      </c>
      <c r="B465" t="s">
        <v>499</v>
      </c>
      <c r="C465">
        <v>44</v>
      </c>
      <c r="D465" t="s">
        <v>23</v>
      </c>
      <c r="E465" t="s">
        <v>45</v>
      </c>
      <c r="F465" t="s">
        <v>46</v>
      </c>
      <c r="G465" t="s">
        <v>29</v>
      </c>
      <c r="H465">
        <v>12</v>
      </c>
      <c r="I465">
        <v>1464</v>
      </c>
      <c r="J465">
        <v>5464</v>
      </c>
      <c r="K465">
        <v>76526</v>
      </c>
      <c r="L465" t="s">
        <v>27</v>
      </c>
      <c r="M465">
        <v>47</v>
      </c>
      <c r="N465">
        <v>4</v>
      </c>
      <c r="O465" t="s">
        <v>31</v>
      </c>
    </row>
    <row r="466" spans="1:15" x14ac:dyDescent="0.3">
      <c r="A466">
        <v>465</v>
      </c>
      <c r="B466" t="s">
        <v>500</v>
      </c>
      <c r="C466">
        <v>40</v>
      </c>
      <c r="D466" t="s">
        <v>23</v>
      </c>
      <c r="E466" t="s">
        <v>45</v>
      </c>
      <c r="F466" t="s">
        <v>25</v>
      </c>
      <c r="G466" t="s">
        <v>29</v>
      </c>
      <c r="H466">
        <v>17</v>
      </c>
      <c r="I466">
        <v>1465</v>
      </c>
      <c r="J466">
        <v>5465</v>
      </c>
      <c r="K466">
        <v>30449</v>
      </c>
      <c r="L466" t="s">
        <v>27</v>
      </c>
      <c r="M466">
        <v>31</v>
      </c>
      <c r="N466">
        <v>2</v>
      </c>
      <c r="O466" t="s">
        <v>40</v>
      </c>
    </row>
    <row r="467" spans="1:15" x14ac:dyDescent="0.3">
      <c r="A467">
        <v>466</v>
      </c>
      <c r="B467" t="s">
        <v>501</v>
      </c>
      <c r="C467">
        <v>55</v>
      </c>
      <c r="D467" t="s">
        <v>23</v>
      </c>
      <c r="E467" t="s">
        <v>24</v>
      </c>
      <c r="F467" t="s">
        <v>25</v>
      </c>
      <c r="G467" t="s">
        <v>19</v>
      </c>
      <c r="H467">
        <v>1</v>
      </c>
      <c r="I467">
        <v>1466</v>
      </c>
      <c r="J467">
        <v>5466</v>
      </c>
      <c r="K467">
        <v>70290</v>
      </c>
      <c r="L467" t="s">
        <v>30</v>
      </c>
      <c r="M467">
        <v>46</v>
      </c>
      <c r="N467">
        <v>1</v>
      </c>
      <c r="O467" t="s">
        <v>21</v>
      </c>
    </row>
    <row r="468" spans="1:15" x14ac:dyDescent="0.3">
      <c r="A468">
        <v>467</v>
      </c>
      <c r="B468" t="s">
        <v>502</v>
      </c>
      <c r="C468">
        <v>29</v>
      </c>
      <c r="D468" t="s">
        <v>16</v>
      </c>
      <c r="E468" t="s">
        <v>17</v>
      </c>
      <c r="F468" t="s">
        <v>25</v>
      </c>
      <c r="G468" t="s">
        <v>29</v>
      </c>
      <c r="H468">
        <v>14</v>
      </c>
      <c r="I468">
        <v>1467</v>
      </c>
      <c r="J468">
        <v>5467</v>
      </c>
      <c r="K468">
        <v>106661</v>
      </c>
      <c r="L468" t="s">
        <v>30</v>
      </c>
      <c r="M468">
        <v>26</v>
      </c>
      <c r="N468">
        <v>3</v>
      </c>
      <c r="O468" t="s">
        <v>40</v>
      </c>
    </row>
    <row r="469" spans="1:15" x14ac:dyDescent="0.3">
      <c r="A469">
        <v>468</v>
      </c>
      <c r="B469" t="s">
        <v>503</v>
      </c>
      <c r="C469">
        <v>56</v>
      </c>
      <c r="D469" t="s">
        <v>16</v>
      </c>
      <c r="E469" t="s">
        <v>24</v>
      </c>
      <c r="F469" t="s">
        <v>33</v>
      </c>
      <c r="G469" t="s">
        <v>29</v>
      </c>
      <c r="H469">
        <v>19</v>
      </c>
      <c r="I469">
        <v>1468</v>
      </c>
      <c r="J469">
        <v>5468</v>
      </c>
      <c r="K469">
        <v>92954</v>
      </c>
      <c r="L469" t="s">
        <v>38</v>
      </c>
      <c r="M469">
        <v>5</v>
      </c>
      <c r="N469">
        <v>1</v>
      </c>
      <c r="O469" t="s">
        <v>40</v>
      </c>
    </row>
    <row r="470" spans="1:15" x14ac:dyDescent="0.3">
      <c r="A470">
        <v>469</v>
      </c>
      <c r="B470" t="s">
        <v>504</v>
      </c>
      <c r="C470">
        <v>28</v>
      </c>
      <c r="D470" t="s">
        <v>16</v>
      </c>
      <c r="E470" t="s">
        <v>17</v>
      </c>
      <c r="F470" t="s">
        <v>18</v>
      </c>
      <c r="G470" t="s">
        <v>29</v>
      </c>
      <c r="H470">
        <v>17</v>
      </c>
      <c r="I470">
        <v>1469</v>
      </c>
      <c r="J470">
        <v>5469</v>
      </c>
      <c r="K470">
        <v>42746</v>
      </c>
      <c r="L470" t="s">
        <v>20</v>
      </c>
      <c r="M470">
        <v>84</v>
      </c>
      <c r="N470">
        <v>3</v>
      </c>
      <c r="O470" t="s">
        <v>40</v>
      </c>
    </row>
    <row r="471" spans="1:15" x14ac:dyDescent="0.3">
      <c r="A471">
        <v>470</v>
      </c>
      <c r="B471" t="s">
        <v>505</v>
      </c>
      <c r="C471">
        <v>43</v>
      </c>
      <c r="D471" t="s">
        <v>23</v>
      </c>
      <c r="E471" t="s">
        <v>43</v>
      </c>
      <c r="F471" t="s">
        <v>46</v>
      </c>
      <c r="G471" t="s">
        <v>26</v>
      </c>
      <c r="H471">
        <v>14</v>
      </c>
      <c r="I471">
        <v>1470</v>
      </c>
      <c r="J471">
        <v>5470</v>
      </c>
      <c r="K471">
        <v>87990</v>
      </c>
      <c r="L471" t="s">
        <v>27</v>
      </c>
      <c r="M471">
        <v>52</v>
      </c>
      <c r="N471">
        <v>4</v>
      </c>
      <c r="O471" t="s">
        <v>31</v>
      </c>
    </row>
    <row r="472" spans="1:15" x14ac:dyDescent="0.3">
      <c r="A472">
        <v>471</v>
      </c>
      <c r="B472" t="s">
        <v>506</v>
      </c>
      <c r="C472">
        <v>54</v>
      </c>
      <c r="D472" t="s">
        <v>16</v>
      </c>
      <c r="E472" t="s">
        <v>43</v>
      </c>
      <c r="F472" t="s">
        <v>18</v>
      </c>
      <c r="G472" t="s">
        <v>26</v>
      </c>
      <c r="H472">
        <v>18</v>
      </c>
      <c r="I472">
        <v>1471</v>
      </c>
      <c r="J472">
        <v>5471</v>
      </c>
      <c r="K472">
        <v>78810</v>
      </c>
      <c r="L472" t="s">
        <v>30</v>
      </c>
      <c r="M472">
        <v>75</v>
      </c>
      <c r="N472">
        <v>1</v>
      </c>
      <c r="O472" t="s">
        <v>40</v>
      </c>
    </row>
    <row r="473" spans="1:15" x14ac:dyDescent="0.3">
      <c r="A473">
        <v>472</v>
      </c>
      <c r="B473" t="s">
        <v>507</v>
      </c>
      <c r="C473">
        <v>54</v>
      </c>
      <c r="D473" t="s">
        <v>23</v>
      </c>
      <c r="E473" t="s">
        <v>45</v>
      </c>
      <c r="F473" t="s">
        <v>18</v>
      </c>
      <c r="G473" t="s">
        <v>19</v>
      </c>
      <c r="H473">
        <v>11</v>
      </c>
      <c r="I473">
        <v>1472</v>
      </c>
      <c r="J473">
        <v>5472</v>
      </c>
      <c r="K473">
        <v>103297</v>
      </c>
      <c r="L473" t="s">
        <v>20</v>
      </c>
      <c r="M473">
        <v>54</v>
      </c>
      <c r="N473">
        <v>2</v>
      </c>
      <c r="O473" t="s">
        <v>21</v>
      </c>
    </row>
    <row r="474" spans="1:15" x14ac:dyDescent="0.3">
      <c r="A474">
        <v>473</v>
      </c>
      <c r="B474" t="s">
        <v>508</v>
      </c>
      <c r="C474">
        <v>55</v>
      </c>
      <c r="D474" t="s">
        <v>23</v>
      </c>
      <c r="E474" t="s">
        <v>17</v>
      </c>
      <c r="F474" t="s">
        <v>18</v>
      </c>
      <c r="G474" t="s">
        <v>19</v>
      </c>
      <c r="H474">
        <v>12</v>
      </c>
      <c r="I474">
        <v>1473</v>
      </c>
      <c r="J474">
        <v>5473</v>
      </c>
      <c r="K474">
        <v>35223</v>
      </c>
      <c r="L474" t="s">
        <v>20</v>
      </c>
      <c r="M474">
        <v>33</v>
      </c>
      <c r="N474">
        <v>1</v>
      </c>
      <c r="O474" t="s">
        <v>40</v>
      </c>
    </row>
    <row r="475" spans="1:15" x14ac:dyDescent="0.3">
      <c r="A475">
        <v>474</v>
      </c>
      <c r="B475" t="s">
        <v>509</v>
      </c>
      <c r="C475">
        <v>37</v>
      </c>
      <c r="D475" t="s">
        <v>16</v>
      </c>
      <c r="E475" t="s">
        <v>43</v>
      </c>
      <c r="F475" t="s">
        <v>25</v>
      </c>
      <c r="G475" t="s">
        <v>26</v>
      </c>
      <c r="H475">
        <v>10</v>
      </c>
      <c r="I475">
        <v>1474</v>
      </c>
      <c r="J475">
        <v>5474</v>
      </c>
      <c r="K475">
        <v>92237</v>
      </c>
      <c r="L475" t="s">
        <v>30</v>
      </c>
      <c r="M475">
        <v>50</v>
      </c>
      <c r="N475">
        <v>1</v>
      </c>
      <c r="O475" t="s">
        <v>21</v>
      </c>
    </row>
    <row r="476" spans="1:15" x14ac:dyDescent="0.3">
      <c r="A476">
        <v>475</v>
      </c>
      <c r="B476" t="s">
        <v>510</v>
      </c>
      <c r="C476">
        <v>58</v>
      </c>
      <c r="D476" t="s">
        <v>16</v>
      </c>
      <c r="E476" t="s">
        <v>17</v>
      </c>
      <c r="F476" t="s">
        <v>46</v>
      </c>
      <c r="G476" t="s">
        <v>19</v>
      </c>
      <c r="H476">
        <v>4</v>
      </c>
      <c r="I476">
        <v>1475</v>
      </c>
      <c r="J476">
        <v>5475</v>
      </c>
      <c r="K476">
        <v>22597</v>
      </c>
      <c r="L476" t="s">
        <v>27</v>
      </c>
      <c r="M476">
        <v>38</v>
      </c>
      <c r="N476">
        <v>1</v>
      </c>
      <c r="O476" t="s">
        <v>40</v>
      </c>
    </row>
    <row r="477" spans="1:15" x14ac:dyDescent="0.3">
      <c r="A477">
        <v>476</v>
      </c>
      <c r="B477" t="s">
        <v>511</v>
      </c>
      <c r="C477">
        <v>51</v>
      </c>
      <c r="D477" t="s">
        <v>16</v>
      </c>
      <c r="E477" t="s">
        <v>43</v>
      </c>
      <c r="F477" t="s">
        <v>46</v>
      </c>
      <c r="G477" t="s">
        <v>26</v>
      </c>
      <c r="H477">
        <v>0</v>
      </c>
      <c r="I477">
        <v>1476</v>
      </c>
      <c r="J477">
        <v>5476</v>
      </c>
      <c r="K477">
        <v>85677</v>
      </c>
      <c r="L477" t="s">
        <v>38</v>
      </c>
      <c r="M477">
        <v>27</v>
      </c>
      <c r="N477">
        <v>4</v>
      </c>
      <c r="O477" t="s">
        <v>21</v>
      </c>
    </row>
    <row r="478" spans="1:15" x14ac:dyDescent="0.3">
      <c r="A478">
        <v>477</v>
      </c>
      <c r="B478" t="s">
        <v>512</v>
      </c>
      <c r="C478">
        <v>43</v>
      </c>
      <c r="D478" t="s">
        <v>23</v>
      </c>
      <c r="E478" t="s">
        <v>24</v>
      </c>
      <c r="F478" t="s">
        <v>18</v>
      </c>
      <c r="G478" t="s">
        <v>29</v>
      </c>
      <c r="H478">
        <v>2</v>
      </c>
      <c r="I478">
        <v>1477</v>
      </c>
      <c r="J478">
        <v>5477</v>
      </c>
      <c r="K478">
        <v>22659</v>
      </c>
      <c r="L478" t="s">
        <v>20</v>
      </c>
      <c r="M478">
        <v>98</v>
      </c>
      <c r="N478">
        <v>2</v>
      </c>
      <c r="O478" t="s">
        <v>21</v>
      </c>
    </row>
    <row r="479" spans="1:15" x14ac:dyDescent="0.3">
      <c r="A479">
        <v>478</v>
      </c>
      <c r="B479" t="s">
        <v>513</v>
      </c>
      <c r="C479">
        <v>42</v>
      </c>
      <c r="D479" t="s">
        <v>16</v>
      </c>
      <c r="E479" t="s">
        <v>43</v>
      </c>
      <c r="F479" t="s">
        <v>25</v>
      </c>
      <c r="G479" t="s">
        <v>29</v>
      </c>
      <c r="H479">
        <v>18</v>
      </c>
      <c r="I479">
        <v>1478</v>
      </c>
      <c r="J479">
        <v>5478</v>
      </c>
      <c r="K479">
        <v>106516</v>
      </c>
      <c r="L479" t="s">
        <v>38</v>
      </c>
      <c r="M479">
        <v>15</v>
      </c>
      <c r="N479">
        <v>1</v>
      </c>
      <c r="O479" t="s">
        <v>40</v>
      </c>
    </row>
    <row r="480" spans="1:15" x14ac:dyDescent="0.3">
      <c r="A480">
        <v>479</v>
      </c>
      <c r="B480" t="s">
        <v>514</v>
      </c>
      <c r="C480">
        <v>51</v>
      </c>
      <c r="D480" t="s">
        <v>23</v>
      </c>
      <c r="E480" t="s">
        <v>24</v>
      </c>
      <c r="F480" t="s">
        <v>25</v>
      </c>
      <c r="G480" t="s">
        <v>19</v>
      </c>
      <c r="H480">
        <v>6</v>
      </c>
      <c r="I480">
        <v>1479</v>
      </c>
      <c r="J480">
        <v>5479</v>
      </c>
      <c r="K480">
        <v>94567</v>
      </c>
      <c r="L480" t="s">
        <v>27</v>
      </c>
      <c r="M480">
        <v>96</v>
      </c>
      <c r="N480">
        <v>2</v>
      </c>
      <c r="O480" t="s">
        <v>40</v>
      </c>
    </row>
    <row r="481" spans="1:15" x14ac:dyDescent="0.3">
      <c r="A481">
        <v>480</v>
      </c>
      <c r="B481" t="s">
        <v>515</v>
      </c>
      <c r="C481">
        <v>56</v>
      </c>
      <c r="D481" t="s">
        <v>16</v>
      </c>
      <c r="E481" t="s">
        <v>43</v>
      </c>
      <c r="F481" t="s">
        <v>46</v>
      </c>
      <c r="G481" t="s">
        <v>26</v>
      </c>
      <c r="H481">
        <v>11</v>
      </c>
      <c r="I481">
        <v>1480</v>
      </c>
      <c r="J481">
        <v>5480</v>
      </c>
      <c r="K481">
        <v>35037</v>
      </c>
      <c r="L481" t="s">
        <v>27</v>
      </c>
      <c r="M481">
        <v>61</v>
      </c>
      <c r="N481">
        <v>4</v>
      </c>
      <c r="O481" t="s">
        <v>21</v>
      </c>
    </row>
    <row r="482" spans="1:15" x14ac:dyDescent="0.3">
      <c r="A482">
        <v>481</v>
      </c>
      <c r="B482" t="s">
        <v>516</v>
      </c>
      <c r="C482">
        <v>31</v>
      </c>
      <c r="D482" t="s">
        <v>23</v>
      </c>
      <c r="E482" t="s">
        <v>45</v>
      </c>
      <c r="F482" t="s">
        <v>25</v>
      </c>
      <c r="G482" t="s">
        <v>26</v>
      </c>
      <c r="H482">
        <v>14</v>
      </c>
      <c r="I482">
        <v>1481</v>
      </c>
      <c r="J482">
        <v>5481</v>
      </c>
      <c r="K482">
        <v>66738</v>
      </c>
      <c r="L482" t="s">
        <v>38</v>
      </c>
      <c r="M482">
        <v>21</v>
      </c>
      <c r="N482">
        <v>3</v>
      </c>
      <c r="O482" t="s">
        <v>36</v>
      </c>
    </row>
    <row r="483" spans="1:15" x14ac:dyDescent="0.3">
      <c r="A483">
        <v>482</v>
      </c>
      <c r="B483" t="s">
        <v>517</v>
      </c>
      <c r="C483">
        <v>32</v>
      </c>
      <c r="D483" t="s">
        <v>23</v>
      </c>
      <c r="E483" t="s">
        <v>24</v>
      </c>
      <c r="F483" t="s">
        <v>25</v>
      </c>
      <c r="G483" t="s">
        <v>19</v>
      </c>
      <c r="H483">
        <v>4</v>
      </c>
      <c r="I483">
        <v>1482</v>
      </c>
      <c r="J483">
        <v>5482</v>
      </c>
      <c r="K483">
        <v>91678</v>
      </c>
      <c r="L483" t="s">
        <v>27</v>
      </c>
      <c r="M483">
        <v>46</v>
      </c>
      <c r="N483">
        <v>1</v>
      </c>
      <c r="O483" t="s">
        <v>31</v>
      </c>
    </row>
    <row r="484" spans="1:15" x14ac:dyDescent="0.3">
      <c r="A484">
        <v>483</v>
      </c>
      <c r="B484" t="s">
        <v>518</v>
      </c>
      <c r="C484">
        <v>42</v>
      </c>
      <c r="D484" t="s">
        <v>16</v>
      </c>
      <c r="E484" t="s">
        <v>43</v>
      </c>
      <c r="F484" t="s">
        <v>25</v>
      </c>
      <c r="G484" t="s">
        <v>26</v>
      </c>
      <c r="H484">
        <v>14</v>
      </c>
      <c r="I484">
        <v>1483</v>
      </c>
      <c r="J484">
        <v>5483</v>
      </c>
      <c r="K484">
        <v>32109</v>
      </c>
      <c r="L484" t="s">
        <v>20</v>
      </c>
      <c r="M484">
        <v>69</v>
      </c>
      <c r="N484">
        <v>2</v>
      </c>
      <c r="O484" t="s">
        <v>36</v>
      </c>
    </row>
    <row r="485" spans="1:15" x14ac:dyDescent="0.3">
      <c r="A485">
        <v>484</v>
      </c>
      <c r="B485" t="s">
        <v>519</v>
      </c>
      <c r="C485">
        <v>44</v>
      </c>
      <c r="D485" t="s">
        <v>23</v>
      </c>
      <c r="E485" t="s">
        <v>45</v>
      </c>
      <c r="F485" t="s">
        <v>33</v>
      </c>
      <c r="G485" t="s">
        <v>29</v>
      </c>
      <c r="H485">
        <v>7</v>
      </c>
      <c r="I485">
        <v>1484</v>
      </c>
      <c r="J485">
        <v>5484</v>
      </c>
      <c r="K485">
        <v>42010</v>
      </c>
      <c r="L485" t="s">
        <v>38</v>
      </c>
      <c r="M485">
        <v>6</v>
      </c>
      <c r="N485">
        <v>2</v>
      </c>
      <c r="O485" t="s">
        <v>36</v>
      </c>
    </row>
    <row r="486" spans="1:15" x14ac:dyDescent="0.3">
      <c r="A486">
        <v>485</v>
      </c>
      <c r="B486" t="s">
        <v>520</v>
      </c>
      <c r="C486">
        <v>54</v>
      </c>
      <c r="D486" t="s">
        <v>23</v>
      </c>
      <c r="E486" t="s">
        <v>24</v>
      </c>
      <c r="F486" t="s">
        <v>18</v>
      </c>
      <c r="G486" t="s">
        <v>19</v>
      </c>
      <c r="H486">
        <v>9</v>
      </c>
      <c r="I486">
        <v>1485</v>
      </c>
      <c r="J486">
        <v>5485</v>
      </c>
      <c r="K486">
        <v>28787</v>
      </c>
      <c r="L486" t="s">
        <v>27</v>
      </c>
      <c r="M486">
        <v>38</v>
      </c>
      <c r="N486">
        <v>4</v>
      </c>
      <c r="O486" t="s">
        <v>40</v>
      </c>
    </row>
    <row r="487" spans="1:15" x14ac:dyDescent="0.3">
      <c r="A487">
        <v>486</v>
      </c>
      <c r="B487" t="s">
        <v>521</v>
      </c>
      <c r="C487">
        <v>49</v>
      </c>
      <c r="D487" t="s">
        <v>16</v>
      </c>
      <c r="E487" t="s">
        <v>45</v>
      </c>
      <c r="F487" t="s">
        <v>46</v>
      </c>
      <c r="G487" t="s">
        <v>19</v>
      </c>
      <c r="H487">
        <v>15</v>
      </c>
      <c r="I487">
        <v>1486</v>
      </c>
      <c r="J487">
        <v>5486</v>
      </c>
      <c r="K487">
        <v>28472</v>
      </c>
      <c r="L487" t="s">
        <v>38</v>
      </c>
      <c r="M487">
        <v>62</v>
      </c>
      <c r="N487">
        <v>1</v>
      </c>
      <c r="O487" t="s">
        <v>31</v>
      </c>
    </row>
    <row r="488" spans="1:15" x14ac:dyDescent="0.3">
      <c r="A488">
        <v>487</v>
      </c>
      <c r="B488" t="s">
        <v>522</v>
      </c>
      <c r="C488">
        <v>36</v>
      </c>
      <c r="D488" t="s">
        <v>23</v>
      </c>
      <c r="E488" t="s">
        <v>17</v>
      </c>
      <c r="F488" t="s">
        <v>46</v>
      </c>
      <c r="G488" t="s">
        <v>26</v>
      </c>
      <c r="H488">
        <v>7</v>
      </c>
      <c r="I488">
        <v>1487</v>
      </c>
      <c r="J488">
        <v>5487</v>
      </c>
      <c r="K488">
        <v>43383</v>
      </c>
      <c r="L488" t="s">
        <v>20</v>
      </c>
      <c r="M488">
        <v>86</v>
      </c>
      <c r="N488">
        <v>3</v>
      </c>
      <c r="O488" t="s">
        <v>36</v>
      </c>
    </row>
    <row r="489" spans="1:15" x14ac:dyDescent="0.3">
      <c r="A489">
        <v>488</v>
      </c>
      <c r="B489" t="s">
        <v>523</v>
      </c>
      <c r="C489">
        <v>39</v>
      </c>
      <c r="D489" t="s">
        <v>16</v>
      </c>
      <c r="E489" t="s">
        <v>17</v>
      </c>
      <c r="F489" t="s">
        <v>33</v>
      </c>
      <c r="G489" t="s">
        <v>19</v>
      </c>
      <c r="H489">
        <v>0</v>
      </c>
      <c r="I489">
        <v>1488</v>
      </c>
      <c r="J489">
        <v>5488</v>
      </c>
      <c r="K489">
        <v>81709</v>
      </c>
      <c r="L489" t="s">
        <v>27</v>
      </c>
      <c r="M489">
        <v>62</v>
      </c>
      <c r="N489">
        <v>2</v>
      </c>
      <c r="O489" t="s">
        <v>40</v>
      </c>
    </row>
    <row r="490" spans="1:15" x14ac:dyDescent="0.3">
      <c r="A490">
        <v>489</v>
      </c>
      <c r="B490" t="s">
        <v>524</v>
      </c>
      <c r="C490">
        <v>44</v>
      </c>
      <c r="D490" t="s">
        <v>23</v>
      </c>
      <c r="E490" t="s">
        <v>24</v>
      </c>
      <c r="F490" t="s">
        <v>18</v>
      </c>
      <c r="G490" t="s">
        <v>26</v>
      </c>
      <c r="H490">
        <v>11</v>
      </c>
      <c r="I490">
        <v>1489</v>
      </c>
      <c r="J490">
        <v>5489</v>
      </c>
      <c r="K490">
        <v>89785</v>
      </c>
      <c r="L490" t="s">
        <v>20</v>
      </c>
      <c r="M490">
        <v>82</v>
      </c>
      <c r="N490">
        <v>1</v>
      </c>
      <c r="O490" t="s">
        <v>36</v>
      </c>
    </row>
    <row r="491" spans="1:15" x14ac:dyDescent="0.3">
      <c r="A491">
        <v>490</v>
      </c>
      <c r="B491" t="s">
        <v>525</v>
      </c>
      <c r="C491">
        <v>41</v>
      </c>
      <c r="D491" t="s">
        <v>16</v>
      </c>
      <c r="E491" t="s">
        <v>43</v>
      </c>
      <c r="F491" t="s">
        <v>46</v>
      </c>
      <c r="G491" t="s">
        <v>26</v>
      </c>
      <c r="H491">
        <v>4</v>
      </c>
      <c r="I491">
        <v>1490</v>
      </c>
      <c r="J491">
        <v>5490</v>
      </c>
      <c r="K491">
        <v>54518</v>
      </c>
      <c r="L491" t="s">
        <v>27</v>
      </c>
      <c r="M491">
        <v>78</v>
      </c>
      <c r="N491">
        <v>3</v>
      </c>
      <c r="O491" t="s">
        <v>36</v>
      </c>
    </row>
    <row r="492" spans="1:15" x14ac:dyDescent="0.3">
      <c r="A492">
        <v>491</v>
      </c>
      <c r="B492" t="s">
        <v>526</v>
      </c>
      <c r="C492">
        <v>32</v>
      </c>
      <c r="D492" t="s">
        <v>16</v>
      </c>
      <c r="E492" t="s">
        <v>24</v>
      </c>
      <c r="F492" t="s">
        <v>25</v>
      </c>
      <c r="G492" t="s">
        <v>26</v>
      </c>
      <c r="H492">
        <v>2</v>
      </c>
      <c r="I492">
        <v>1491</v>
      </c>
      <c r="J492">
        <v>5491</v>
      </c>
      <c r="K492">
        <v>73909</v>
      </c>
      <c r="L492" t="s">
        <v>30</v>
      </c>
      <c r="M492">
        <v>74</v>
      </c>
      <c r="N492">
        <v>2</v>
      </c>
      <c r="O492" t="s">
        <v>40</v>
      </c>
    </row>
    <row r="493" spans="1:15" x14ac:dyDescent="0.3">
      <c r="A493">
        <v>492</v>
      </c>
      <c r="B493" t="s">
        <v>527</v>
      </c>
      <c r="C493">
        <v>38</v>
      </c>
      <c r="D493" t="s">
        <v>23</v>
      </c>
      <c r="E493" t="s">
        <v>45</v>
      </c>
      <c r="F493" t="s">
        <v>46</v>
      </c>
      <c r="G493" t="s">
        <v>26</v>
      </c>
      <c r="H493">
        <v>0</v>
      </c>
      <c r="I493">
        <v>1492</v>
      </c>
      <c r="J493">
        <v>5492</v>
      </c>
      <c r="K493">
        <v>38351</v>
      </c>
      <c r="L493" t="s">
        <v>27</v>
      </c>
      <c r="M493">
        <v>46</v>
      </c>
      <c r="N493">
        <v>2</v>
      </c>
      <c r="O493" t="s">
        <v>40</v>
      </c>
    </row>
    <row r="494" spans="1:15" x14ac:dyDescent="0.3">
      <c r="A494">
        <v>493</v>
      </c>
      <c r="B494" t="s">
        <v>528</v>
      </c>
      <c r="C494">
        <v>55</v>
      </c>
      <c r="D494" t="s">
        <v>23</v>
      </c>
      <c r="E494" t="s">
        <v>43</v>
      </c>
      <c r="F494" t="s">
        <v>25</v>
      </c>
      <c r="G494" t="s">
        <v>26</v>
      </c>
      <c r="H494">
        <v>3</v>
      </c>
      <c r="I494">
        <v>1493</v>
      </c>
      <c r="J494">
        <v>5493</v>
      </c>
      <c r="K494">
        <v>89624</v>
      </c>
      <c r="L494" t="s">
        <v>38</v>
      </c>
      <c r="M494">
        <v>13</v>
      </c>
      <c r="N494">
        <v>3</v>
      </c>
      <c r="O494" t="s">
        <v>40</v>
      </c>
    </row>
    <row r="495" spans="1:15" x14ac:dyDescent="0.3">
      <c r="A495">
        <v>494</v>
      </c>
      <c r="B495" t="s">
        <v>529</v>
      </c>
      <c r="C495">
        <v>31</v>
      </c>
      <c r="D495" t="s">
        <v>23</v>
      </c>
      <c r="E495" t="s">
        <v>17</v>
      </c>
      <c r="F495" t="s">
        <v>33</v>
      </c>
      <c r="G495" t="s">
        <v>19</v>
      </c>
      <c r="H495">
        <v>7</v>
      </c>
      <c r="I495">
        <v>1494</v>
      </c>
      <c r="J495">
        <v>5494</v>
      </c>
      <c r="K495">
        <v>73330</v>
      </c>
      <c r="L495" t="s">
        <v>27</v>
      </c>
      <c r="M495">
        <v>95</v>
      </c>
      <c r="N495">
        <v>3</v>
      </c>
      <c r="O495" t="s">
        <v>31</v>
      </c>
    </row>
    <row r="496" spans="1:15" x14ac:dyDescent="0.3">
      <c r="A496">
        <v>495</v>
      </c>
      <c r="B496" t="s">
        <v>530</v>
      </c>
      <c r="C496">
        <v>38</v>
      </c>
      <c r="D496" t="s">
        <v>23</v>
      </c>
      <c r="E496" t="s">
        <v>43</v>
      </c>
      <c r="F496" t="s">
        <v>25</v>
      </c>
      <c r="G496" t="s">
        <v>29</v>
      </c>
      <c r="H496">
        <v>2</v>
      </c>
      <c r="I496">
        <v>1495</v>
      </c>
      <c r="J496">
        <v>5495</v>
      </c>
      <c r="K496">
        <v>35282</v>
      </c>
      <c r="L496" t="s">
        <v>20</v>
      </c>
      <c r="M496">
        <v>94</v>
      </c>
      <c r="N496">
        <v>4</v>
      </c>
      <c r="O496" t="s">
        <v>36</v>
      </c>
    </row>
    <row r="497" spans="1:15" x14ac:dyDescent="0.3">
      <c r="A497">
        <v>496</v>
      </c>
      <c r="B497" t="s">
        <v>531</v>
      </c>
      <c r="C497">
        <v>31</v>
      </c>
      <c r="D497" t="s">
        <v>23</v>
      </c>
      <c r="E497" t="s">
        <v>17</v>
      </c>
      <c r="F497" t="s">
        <v>46</v>
      </c>
      <c r="G497" t="s">
        <v>29</v>
      </c>
      <c r="H497">
        <v>9</v>
      </c>
      <c r="I497">
        <v>1496</v>
      </c>
      <c r="J497">
        <v>5496</v>
      </c>
      <c r="K497">
        <v>104866</v>
      </c>
      <c r="L497" t="s">
        <v>20</v>
      </c>
      <c r="M497">
        <v>3</v>
      </c>
      <c r="N497">
        <v>1</v>
      </c>
      <c r="O497" t="s">
        <v>40</v>
      </c>
    </row>
    <row r="498" spans="1:15" x14ac:dyDescent="0.3">
      <c r="A498">
        <v>497</v>
      </c>
      <c r="B498" t="s">
        <v>532</v>
      </c>
      <c r="C498">
        <v>28</v>
      </c>
      <c r="D498" t="s">
        <v>16</v>
      </c>
      <c r="E498" t="s">
        <v>43</v>
      </c>
      <c r="F498" t="s">
        <v>46</v>
      </c>
      <c r="G498" t="s">
        <v>19</v>
      </c>
      <c r="H498">
        <v>1</v>
      </c>
      <c r="I498">
        <v>1497</v>
      </c>
      <c r="J498">
        <v>5497</v>
      </c>
      <c r="K498">
        <v>41778</v>
      </c>
      <c r="L498" t="s">
        <v>27</v>
      </c>
      <c r="M498">
        <v>94</v>
      </c>
      <c r="N498">
        <v>1</v>
      </c>
      <c r="O498" t="s">
        <v>21</v>
      </c>
    </row>
    <row r="499" spans="1:15" x14ac:dyDescent="0.3">
      <c r="A499">
        <v>498</v>
      </c>
      <c r="B499" t="s">
        <v>533</v>
      </c>
      <c r="C499">
        <v>26</v>
      </c>
      <c r="D499" t="s">
        <v>23</v>
      </c>
      <c r="E499" t="s">
        <v>43</v>
      </c>
      <c r="F499" t="s">
        <v>46</v>
      </c>
      <c r="G499" t="s">
        <v>19</v>
      </c>
      <c r="H499">
        <v>10</v>
      </c>
      <c r="I499">
        <v>1498</v>
      </c>
      <c r="J499">
        <v>5498</v>
      </c>
      <c r="K499">
        <v>44264</v>
      </c>
      <c r="L499" t="s">
        <v>38</v>
      </c>
      <c r="M499">
        <v>6</v>
      </c>
      <c r="N499">
        <v>4</v>
      </c>
      <c r="O499" t="s">
        <v>36</v>
      </c>
    </row>
    <row r="500" spans="1:15" x14ac:dyDescent="0.3">
      <c r="A500">
        <v>499</v>
      </c>
      <c r="B500" t="s">
        <v>534</v>
      </c>
      <c r="C500">
        <v>47</v>
      </c>
      <c r="D500" t="s">
        <v>16</v>
      </c>
      <c r="E500" t="s">
        <v>43</v>
      </c>
      <c r="F500" t="s">
        <v>33</v>
      </c>
      <c r="G500" t="s">
        <v>29</v>
      </c>
      <c r="H500">
        <v>9</v>
      </c>
      <c r="I500">
        <v>1499</v>
      </c>
      <c r="J500">
        <v>5499</v>
      </c>
      <c r="K500">
        <v>79675</v>
      </c>
      <c r="L500" t="s">
        <v>30</v>
      </c>
      <c r="M500">
        <v>93</v>
      </c>
      <c r="N500">
        <v>2</v>
      </c>
      <c r="O500" t="s">
        <v>21</v>
      </c>
    </row>
    <row r="501" spans="1:15" x14ac:dyDescent="0.3">
      <c r="A501">
        <v>500</v>
      </c>
      <c r="B501" t="s">
        <v>535</v>
      </c>
      <c r="C501">
        <v>33</v>
      </c>
      <c r="D501" t="s">
        <v>16</v>
      </c>
      <c r="E501" t="s">
        <v>45</v>
      </c>
      <c r="F501" t="s">
        <v>33</v>
      </c>
      <c r="G501" t="s">
        <v>29</v>
      </c>
      <c r="H501">
        <v>13</v>
      </c>
      <c r="I501">
        <v>1500</v>
      </c>
      <c r="J501">
        <v>5500</v>
      </c>
      <c r="K501">
        <v>25075</v>
      </c>
      <c r="L501" t="s">
        <v>38</v>
      </c>
      <c r="M501">
        <v>8</v>
      </c>
      <c r="N501">
        <v>3</v>
      </c>
      <c r="O50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8358-B718-4C3D-8816-36A55A4C9812}">
  <dimension ref="A1:R501"/>
  <sheetViews>
    <sheetView tabSelected="1" zoomScale="92" workbookViewId="0"/>
  </sheetViews>
  <sheetFormatPr defaultRowHeight="15.05" x14ac:dyDescent="0.3"/>
  <cols>
    <col min="1" max="1" width="12.5546875" customWidth="1"/>
    <col min="2" max="2" width="13.109375" bestFit="1" customWidth="1"/>
    <col min="4" max="4" width="16.77734375" style="10" bestFit="1" customWidth="1"/>
    <col min="7" max="7" width="15.109375" customWidth="1"/>
    <col min="8" max="8" width="18" customWidth="1"/>
    <col min="9" max="9" width="16.109375" customWidth="1"/>
    <col min="10" max="10" width="26.6640625" style="10" bestFit="1" customWidth="1"/>
    <col min="11" max="11" width="13.44140625" customWidth="1"/>
    <col min="12" max="12" width="17.88671875" customWidth="1"/>
    <col min="14" max="14" width="12.5546875" customWidth="1"/>
    <col min="15" max="15" width="10.44140625" customWidth="1"/>
    <col min="16" max="16" width="18.44140625" customWidth="1"/>
    <col min="17" max="17" width="18.44140625" style="10" customWidth="1"/>
    <col min="18" max="18" width="9" bestFit="1" customWidth="1"/>
  </cols>
  <sheetData>
    <row r="1" spans="1:18" x14ac:dyDescent="0.3">
      <c r="A1" s="1" t="s">
        <v>0</v>
      </c>
      <c r="B1" s="2" t="s">
        <v>1</v>
      </c>
      <c r="C1" s="2" t="s">
        <v>2</v>
      </c>
      <c r="D1" s="11" t="s">
        <v>536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1" t="s">
        <v>538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14" t="s">
        <v>537</v>
      </c>
      <c r="R1" s="3" t="s">
        <v>14</v>
      </c>
    </row>
    <row r="2" spans="1:18" x14ac:dyDescent="0.3">
      <c r="A2" s="4">
        <v>1</v>
      </c>
      <c r="B2" s="5" t="s">
        <v>15</v>
      </c>
      <c r="C2" s="5">
        <v>58</v>
      </c>
      <c r="D2" s="12" t="str">
        <f t="shared" ref="D2:D65" si="0">IF(AND(C2&gt;=20,C2&lt;=30),"Young",IF(AND(C2&gt;30,C2&lt;=40),"Mid Age",IF(AND(C2&gt;40,C2&lt;=50),"Elder",IF(AND(C2&gt;50,C2&lt;=59),"Senior","Other"))))</f>
        <v>Senior</v>
      </c>
      <c r="E2" s="5" t="s">
        <v>16</v>
      </c>
      <c r="F2" s="5" t="s">
        <v>17</v>
      </c>
      <c r="G2" s="5" t="s">
        <v>18</v>
      </c>
      <c r="H2" s="5" t="s">
        <v>19</v>
      </c>
      <c r="I2" s="5">
        <v>9</v>
      </c>
      <c r="J2" s="12" t="str">
        <f>IF(I2&lt;=2,"Beginner",IF(I2&lt;=5,"Junior",IF(I2&lt;=10,"Mid-level",IF(I2&lt;=15,"Senior","Expert"))))</f>
        <v>Mid-level</v>
      </c>
      <c r="K2" s="5">
        <v>1001</v>
      </c>
      <c r="L2" s="5">
        <v>5001</v>
      </c>
      <c r="M2" s="5">
        <v>100102</v>
      </c>
      <c r="N2" s="5" t="s">
        <v>20</v>
      </c>
      <c r="O2" s="5">
        <v>86</v>
      </c>
      <c r="P2" s="5">
        <v>4</v>
      </c>
      <c r="Q2" s="15" t="str">
        <f>IF(P2=1,"Poor",IF(P2=2,"Average",IF(P2=3,"Good",IF(P2=4,"Excellent","Unknown"))))</f>
        <v>Excellent</v>
      </c>
      <c r="R2" s="6" t="s">
        <v>21</v>
      </c>
    </row>
    <row r="3" spans="1:18" x14ac:dyDescent="0.3">
      <c r="A3" s="4">
        <v>2</v>
      </c>
      <c r="B3" s="5" t="s">
        <v>22</v>
      </c>
      <c r="C3" s="5">
        <v>48</v>
      </c>
      <c r="D3" s="12" t="str">
        <f t="shared" si="0"/>
        <v>Elder</v>
      </c>
      <c r="E3" s="5" t="s">
        <v>23</v>
      </c>
      <c r="F3" s="5" t="s">
        <v>24</v>
      </c>
      <c r="G3" s="5" t="s">
        <v>25</v>
      </c>
      <c r="H3" s="5" t="s">
        <v>26</v>
      </c>
      <c r="I3" s="5">
        <v>1</v>
      </c>
      <c r="J3" s="12" t="str">
        <f t="shared" ref="J3:J65" si="1">IF(I3&lt;=2,"Beginner",IF(I3&lt;=5,"Junior",IF(I3&lt;=10,"Mid-level",IF(I3&lt;=15,"Senior","Expert"))))</f>
        <v>Beginner</v>
      </c>
      <c r="K3" s="5">
        <v>1002</v>
      </c>
      <c r="L3" s="5">
        <v>5002</v>
      </c>
      <c r="M3" s="5">
        <v>99578</v>
      </c>
      <c r="N3" s="5" t="s">
        <v>27</v>
      </c>
      <c r="O3" s="5">
        <v>24</v>
      </c>
      <c r="P3" s="5">
        <v>1</v>
      </c>
      <c r="Q3" s="15" t="str">
        <f t="shared" ref="Q3:Q65" si="2">IF(P3=1,"Poor",IF(P3=2,"Average",IF(P3=3,"Good",IF(P3=4,"Excellent","Unknown"))))</f>
        <v>Poor</v>
      </c>
      <c r="R3" s="6" t="s">
        <v>21</v>
      </c>
    </row>
    <row r="4" spans="1:18" x14ac:dyDescent="0.3">
      <c r="A4" s="4">
        <v>3</v>
      </c>
      <c r="B4" s="5" t="s">
        <v>28</v>
      </c>
      <c r="C4" s="5">
        <v>34</v>
      </c>
      <c r="D4" s="12" t="str">
        <f>IF(AND(C4&gt;=20,C4&lt;=30),"Young",IF(AND(C4&gt;30,C4&lt;=40),"Mid Age",IF(AND(C4&gt;40,C4&lt;=50),"Elder",IF(AND(C4&gt;50,C4&lt;=59),"Senior","Other"))))</f>
        <v>Mid Age</v>
      </c>
      <c r="E4" s="5" t="s">
        <v>23</v>
      </c>
      <c r="F4" s="5" t="s">
        <v>24</v>
      </c>
      <c r="G4" s="5" t="s">
        <v>25</v>
      </c>
      <c r="H4" s="5" t="s">
        <v>29</v>
      </c>
      <c r="I4" s="5">
        <v>13</v>
      </c>
      <c r="J4" s="12" t="str">
        <f t="shared" si="1"/>
        <v>Senior</v>
      </c>
      <c r="K4" s="5">
        <v>1003</v>
      </c>
      <c r="L4" s="5">
        <v>5003</v>
      </c>
      <c r="M4" s="5">
        <v>45498</v>
      </c>
      <c r="N4" s="5" t="s">
        <v>30</v>
      </c>
      <c r="O4" s="5">
        <v>19</v>
      </c>
      <c r="P4" s="5">
        <v>3</v>
      </c>
      <c r="Q4" s="15" t="str">
        <f t="shared" si="2"/>
        <v>Good</v>
      </c>
      <c r="R4" s="6" t="s">
        <v>31</v>
      </c>
    </row>
    <row r="5" spans="1:18" x14ac:dyDescent="0.3">
      <c r="A5" s="4">
        <v>4</v>
      </c>
      <c r="B5" s="5" t="s">
        <v>32</v>
      </c>
      <c r="C5" s="5">
        <v>27</v>
      </c>
      <c r="D5" s="12" t="str">
        <f t="shared" si="0"/>
        <v>Young</v>
      </c>
      <c r="E5" s="5" t="s">
        <v>16</v>
      </c>
      <c r="F5" s="5" t="s">
        <v>24</v>
      </c>
      <c r="G5" s="5" t="s">
        <v>33</v>
      </c>
      <c r="H5" s="5" t="s">
        <v>19</v>
      </c>
      <c r="I5" s="5">
        <v>8</v>
      </c>
      <c r="J5" s="12" t="str">
        <f t="shared" si="1"/>
        <v>Mid-level</v>
      </c>
      <c r="K5" s="5">
        <v>1004</v>
      </c>
      <c r="L5" s="5">
        <v>5004</v>
      </c>
      <c r="M5" s="5">
        <v>96865</v>
      </c>
      <c r="N5" s="5" t="s">
        <v>27</v>
      </c>
      <c r="O5" s="5">
        <v>37</v>
      </c>
      <c r="P5" s="5">
        <v>4</v>
      </c>
      <c r="Q5" s="15" t="str">
        <f t="shared" si="2"/>
        <v>Excellent</v>
      </c>
      <c r="R5" s="6" t="s">
        <v>21</v>
      </c>
    </row>
    <row r="6" spans="1:18" x14ac:dyDescent="0.3">
      <c r="A6" s="4">
        <v>5</v>
      </c>
      <c r="B6" s="5" t="s">
        <v>34</v>
      </c>
      <c r="C6" s="5">
        <v>40</v>
      </c>
      <c r="D6" s="12" t="str">
        <f t="shared" si="0"/>
        <v>Mid Age</v>
      </c>
      <c r="E6" s="5" t="s">
        <v>23</v>
      </c>
      <c r="F6" s="5" t="s">
        <v>24</v>
      </c>
      <c r="G6" s="5" t="s">
        <v>18</v>
      </c>
      <c r="H6" s="5" t="s">
        <v>19</v>
      </c>
      <c r="I6" s="5">
        <v>2</v>
      </c>
      <c r="J6" s="12" t="str">
        <f t="shared" si="1"/>
        <v>Beginner</v>
      </c>
      <c r="K6" s="5">
        <v>1005</v>
      </c>
      <c r="L6" s="5">
        <v>5005</v>
      </c>
      <c r="M6" s="5">
        <v>51656</v>
      </c>
      <c r="N6" s="5" t="s">
        <v>20</v>
      </c>
      <c r="O6" s="5">
        <v>85</v>
      </c>
      <c r="P6" s="5">
        <v>1</v>
      </c>
      <c r="Q6" s="15" t="str">
        <f t="shared" si="2"/>
        <v>Poor</v>
      </c>
      <c r="R6" s="6" t="s">
        <v>21</v>
      </c>
    </row>
    <row r="7" spans="1:18" x14ac:dyDescent="0.3">
      <c r="A7" s="4">
        <v>6</v>
      </c>
      <c r="B7" s="5" t="s">
        <v>35</v>
      </c>
      <c r="C7" s="5">
        <v>58</v>
      </c>
      <c r="D7" s="12" t="str">
        <f t="shared" si="0"/>
        <v>Senior</v>
      </c>
      <c r="E7" s="5" t="s">
        <v>16</v>
      </c>
      <c r="F7" s="5" t="s">
        <v>17</v>
      </c>
      <c r="G7" s="5" t="s">
        <v>33</v>
      </c>
      <c r="H7" s="5" t="s">
        <v>29</v>
      </c>
      <c r="I7" s="5">
        <v>7</v>
      </c>
      <c r="J7" s="12" t="str">
        <f t="shared" si="1"/>
        <v>Mid-level</v>
      </c>
      <c r="K7" s="5">
        <v>1006</v>
      </c>
      <c r="L7" s="5">
        <v>5006</v>
      </c>
      <c r="M7" s="5">
        <v>87695</v>
      </c>
      <c r="N7" s="5" t="s">
        <v>27</v>
      </c>
      <c r="O7" s="5">
        <v>8</v>
      </c>
      <c r="P7" s="5">
        <v>1</v>
      </c>
      <c r="Q7" s="15" t="str">
        <f t="shared" si="2"/>
        <v>Poor</v>
      </c>
      <c r="R7" s="6" t="s">
        <v>36</v>
      </c>
    </row>
    <row r="8" spans="1:18" x14ac:dyDescent="0.3">
      <c r="A8" s="4">
        <v>7</v>
      </c>
      <c r="B8" s="5" t="s">
        <v>37</v>
      </c>
      <c r="C8" s="5">
        <v>38</v>
      </c>
      <c r="D8" s="12" t="str">
        <f t="shared" si="0"/>
        <v>Mid Age</v>
      </c>
      <c r="E8" s="5" t="s">
        <v>23</v>
      </c>
      <c r="F8" s="5" t="s">
        <v>24</v>
      </c>
      <c r="G8" s="5" t="s">
        <v>25</v>
      </c>
      <c r="H8" s="5" t="s">
        <v>29</v>
      </c>
      <c r="I8" s="5">
        <v>15</v>
      </c>
      <c r="J8" s="12" t="str">
        <f t="shared" si="1"/>
        <v>Senior</v>
      </c>
      <c r="K8" s="5">
        <v>1007</v>
      </c>
      <c r="L8" s="5">
        <v>5007</v>
      </c>
      <c r="M8" s="5">
        <v>57900</v>
      </c>
      <c r="N8" s="5" t="s">
        <v>38</v>
      </c>
      <c r="O8" s="5">
        <v>28</v>
      </c>
      <c r="P8" s="5">
        <v>4</v>
      </c>
      <c r="Q8" s="15" t="str">
        <f t="shared" si="2"/>
        <v>Excellent</v>
      </c>
      <c r="R8" s="6" t="s">
        <v>31</v>
      </c>
    </row>
    <row r="9" spans="1:18" x14ac:dyDescent="0.3">
      <c r="A9" s="4">
        <v>8</v>
      </c>
      <c r="B9" s="5" t="s">
        <v>39</v>
      </c>
      <c r="C9" s="5">
        <v>42</v>
      </c>
      <c r="D9" s="12" t="str">
        <f t="shared" si="0"/>
        <v>Elder</v>
      </c>
      <c r="E9" s="5" t="s">
        <v>16</v>
      </c>
      <c r="F9" s="5" t="s">
        <v>17</v>
      </c>
      <c r="G9" s="5" t="s">
        <v>33</v>
      </c>
      <c r="H9" s="5" t="s">
        <v>29</v>
      </c>
      <c r="I9" s="5">
        <v>1</v>
      </c>
      <c r="J9" s="12" t="str">
        <f t="shared" si="1"/>
        <v>Beginner</v>
      </c>
      <c r="K9" s="5">
        <v>1008</v>
      </c>
      <c r="L9" s="5">
        <v>5008</v>
      </c>
      <c r="M9" s="5">
        <v>104899</v>
      </c>
      <c r="N9" s="5" t="s">
        <v>27</v>
      </c>
      <c r="O9" s="5">
        <v>5</v>
      </c>
      <c r="P9" s="5">
        <v>3</v>
      </c>
      <c r="Q9" s="15" t="str">
        <f t="shared" si="2"/>
        <v>Good</v>
      </c>
      <c r="R9" s="6" t="s">
        <v>40</v>
      </c>
    </row>
    <row r="10" spans="1:18" x14ac:dyDescent="0.3">
      <c r="A10" s="4">
        <v>9</v>
      </c>
      <c r="B10" s="5" t="s">
        <v>41</v>
      </c>
      <c r="C10" s="5">
        <v>30</v>
      </c>
      <c r="D10" s="12" t="str">
        <f t="shared" si="0"/>
        <v>Young</v>
      </c>
      <c r="E10" s="5" t="s">
        <v>16</v>
      </c>
      <c r="F10" s="5" t="s">
        <v>17</v>
      </c>
      <c r="G10" s="5" t="s">
        <v>25</v>
      </c>
      <c r="H10" s="5" t="s">
        <v>26</v>
      </c>
      <c r="I10" s="5">
        <v>5</v>
      </c>
      <c r="J10" s="12" t="str">
        <f t="shared" si="1"/>
        <v>Junior</v>
      </c>
      <c r="K10" s="5">
        <v>1009</v>
      </c>
      <c r="L10" s="5">
        <v>5009</v>
      </c>
      <c r="M10" s="5">
        <v>67701</v>
      </c>
      <c r="N10" s="5" t="s">
        <v>20</v>
      </c>
      <c r="O10" s="5">
        <v>17</v>
      </c>
      <c r="P10" s="5">
        <v>1</v>
      </c>
      <c r="Q10" s="15" t="str">
        <f t="shared" si="2"/>
        <v>Poor</v>
      </c>
      <c r="R10" s="6" t="s">
        <v>36</v>
      </c>
    </row>
    <row r="11" spans="1:18" x14ac:dyDescent="0.3">
      <c r="A11" s="4">
        <v>10</v>
      </c>
      <c r="B11" s="5" t="s">
        <v>42</v>
      </c>
      <c r="C11" s="5">
        <v>30</v>
      </c>
      <c r="D11" s="12" t="str">
        <f t="shared" si="0"/>
        <v>Young</v>
      </c>
      <c r="E11" s="5" t="s">
        <v>16</v>
      </c>
      <c r="F11" s="5" t="s">
        <v>43</v>
      </c>
      <c r="G11" s="5" t="s">
        <v>18</v>
      </c>
      <c r="H11" s="5" t="s">
        <v>26</v>
      </c>
      <c r="I11" s="5">
        <v>11</v>
      </c>
      <c r="J11" s="12" t="str">
        <f t="shared" si="1"/>
        <v>Senior</v>
      </c>
      <c r="K11" s="5">
        <v>1010</v>
      </c>
      <c r="L11" s="5">
        <v>5010</v>
      </c>
      <c r="M11" s="5">
        <v>39033</v>
      </c>
      <c r="N11" s="5" t="s">
        <v>38</v>
      </c>
      <c r="O11" s="5">
        <v>36</v>
      </c>
      <c r="P11" s="5">
        <v>2</v>
      </c>
      <c r="Q11" s="15" t="str">
        <f t="shared" si="2"/>
        <v>Average</v>
      </c>
      <c r="R11" s="6" t="s">
        <v>36</v>
      </c>
    </row>
    <row r="12" spans="1:18" x14ac:dyDescent="0.3">
      <c r="A12" s="4">
        <v>11</v>
      </c>
      <c r="B12" s="5" t="s">
        <v>44</v>
      </c>
      <c r="C12" s="5">
        <v>43</v>
      </c>
      <c r="D12" s="12" t="str">
        <f t="shared" si="0"/>
        <v>Elder</v>
      </c>
      <c r="E12" s="5" t="s">
        <v>23</v>
      </c>
      <c r="F12" s="5" t="s">
        <v>45</v>
      </c>
      <c r="G12" s="5" t="s">
        <v>46</v>
      </c>
      <c r="H12" s="5" t="s">
        <v>19</v>
      </c>
      <c r="I12" s="5">
        <v>4</v>
      </c>
      <c r="J12" s="12" t="str">
        <f t="shared" si="1"/>
        <v>Junior</v>
      </c>
      <c r="K12" s="5">
        <v>1011</v>
      </c>
      <c r="L12" s="5">
        <v>5011</v>
      </c>
      <c r="M12" s="5">
        <v>30805</v>
      </c>
      <c r="N12" s="5" t="s">
        <v>27</v>
      </c>
      <c r="O12" s="5">
        <v>19</v>
      </c>
      <c r="P12" s="5">
        <v>3</v>
      </c>
      <c r="Q12" s="15" t="str">
        <f t="shared" si="2"/>
        <v>Good</v>
      </c>
      <c r="R12" s="6" t="s">
        <v>40</v>
      </c>
    </row>
    <row r="13" spans="1:18" x14ac:dyDescent="0.3">
      <c r="A13" s="4">
        <v>12</v>
      </c>
      <c r="B13" s="5" t="s">
        <v>47</v>
      </c>
      <c r="C13" s="5">
        <v>55</v>
      </c>
      <c r="D13" s="12" t="str">
        <f t="shared" si="0"/>
        <v>Senior</v>
      </c>
      <c r="E13" s="5" t="s">
        <v>16</v>
      </c>
      <c r="F13" s="5" t="s">
        <v>45</v>
      </c>
      <c r="G13" s="5" t="s">
        <v>18</v>
      </c>
      <c r="H13" s="5" t="s">
        <v>29</v>
      </c>
      <c r="I13" s="5">
        <v>1</v>
      </c>
      <c r="J13" s="12" t="str">
        <f t="shared" si="1"/>
        <v>Beginner</v>
      </c>
      <c r="K13" s="5">
        <v>1012</v>
      </c>
      <c r="L13" s="5">
        <v>5012</v>
      </c>
      <c r="M13" s="5">
        <v>55851</v>
      </c>
      <c r="N13" s="5" t="s">
        <v>27</v>
      </c>
      <c r="O13" s="5">
        <v>64</v>
      </c>
      <c r="P13" s="5">
        <v>3</v>
      </c>
      <c r="Q13" s="15" t="str">
        <f t="shared" si="2"/>
        <v>Good</v>
      </c>
      <c r="R13" s="6" t="s">
        <v>36</v>
      </c>
    </row>
    <row r="14" spans="1:18" x14ac:dyDescent="0.3">
      <c r="A14" s="4">
        <v>13</v>
      </c>
      <c r="B14" s="5" t="s">
        <v>48</v>
      </c>
      <c r="C14" s="5">
        <v>59</v>
      </c>
      <c r="D14" s="12" t="str">
        <f t="shared" si="0"/>
        <v>Senior</v>
      </c>
      <c r="E14" s="5" t="s">
        <v>23</v>
      </c>
      <c r="F14" s="5" t="s">
        <v>17</v>
      </c>
      <c r="G14" s="5" t="s">
        <v>33</v>
      </c>
      <c r="H14" s="5" t="s">
        <v>26</v>
      </c>
      <c r="I14" s="5">
        <v>15</v>
      </c>
      <c r="J14" s="12" t="str">
        <f t="shared" si="1"/>
        <v>Senior</v>
      </c>
      <c r="K14" s="5">
        <v>1013</v>
      </c>
      <c r="L14" s="5">
        <v>5013</v>
      </c>
      <c r="M14" s="5">
        <v>46832</v>
      </c>
      <c r="N14" s="5" t="s">
        <v>38</v>
      </c>
      <c r="O14" s="5">
        <v>91</v>
      </c>
      <c r="P14" s="5">
        <v>4</v>
      </c>
      <c r="Q14" s="15" t="str">
        <f t="shared" si="2"/>
        <v>Excellent</v>
      </c>
      <c r="R14" s="6" t="s">
        <v>31</v>
      </c>
    </row>
    <row r="15" spans="1:18" x14ac:dyDescent="0.3">
      <c r="A15" s="4">
        <v>14</v>
      </c>
      <c r="B15" s="5" t="s">
        <v>49</v>
      </c>
      <c r="C15" s="5">
        <v>43</v>
      </c>
      <c r="D15" s="12" t="str">
        <f t="shared" si="0"/>
        <v>Elder</v>
      </c>
      <c r="E15" s="5" t="s">
        <v>16</v>
      </c>
      <c r="F15" s="5" t="s">
        <v>43</v>
      </c>
      <c r="G15" s="5" t="s">
        <v>33</v>
      </c>
      <c r="H15" s="5" t="s">
        <v>29</v>
      </c>
      <c r="I15" s="5">
        <v>4</v>
      </c>
      <c r="J15" s="12" t="str">
        <f t="shared" si="1"/>
        <v>Junior</v>
      </c>
      <c r="K15" s="5">
        <v>1014</v>
      </c>
      <c r="L15" s="5">
        <v>5014</v>
      </c>
      <c r="M15" s="5">
        <v>83437</v>
      </c>
      <c r="N15" s="5" t="s">
        <v>30</v>
      </c>
      <c r="O15" s="5">
        <v>98</v>
      </c>
      <c r="P15" s="5">
        <v>4</v>
      </c>
      <c r="Q15" s="15" t="str">
        <f t="shared" si="2"/>
        <v>Excellent</v>
      </c>
      <c r="R15" s="6" t="s">
        <v>21</v>
      </c>
    </row>
    <row r="16" spans="1:18" x14ac:dyDescent="0.3">
      <c r="A16" s="4">
        <v>15</v>
      </c>
      <c r="B16" s="5" t="s">
        <v>50</v>
      </c>
      <c r="C16" s="5">
        <v>22</v>
      </c>
      <c r="D16" s="12" t="str">
        <f t="shared" si="0"/>
        <v>Young</v>
      </c>
      <c r="E16" s="5" t="s">
        <v>16</v>
      </c>
      <c r="F16" s="5" t="s">
        <v>17</v>
      </c>
      <c r="G16" s="5" t="s">
        <v>18</v>
      </c>
      <c r="H16" s="5" t="s">
        <v>19</v>
      </c>
      <c r="I16" s="5">
        <v>14</v>
      </c>
      <c r="J16" s="12" t="str">
        <f t="shared" si="1"/>
        <v>Senior</v>
      </c>
      <c r="K16" s="5">
        <v>1015</v>
      </c>
      <c r="L16" s="5">
        <v>5015</v>
      </c>
      <c r="M16" s="5">
        <v>33944</v>
      </c>
      <c r="N16" s="5" t="s">
        <v>38</v>
      </c>
      <c r="O16" s="5">
        <v>11</v>
      </c>
      <c r="P16" s="5">
        <v>2</v>
      </c>
      <c r="Q16" s="15" t="str">
        <f t="shared" si="2"/>
        <v>Average</v>
      </c>
      <c r="R16" s="6" t="s">
        <v>31</v>
      </c>
    </row>
    <row r="17" spans="1:18" x14ac:dyDescent="0.3">
      <c r="A17" s="4">
        <v>16</v>
      </c>
      <c r="B17" s="5" t="s">
        <v>51</v>
      </c>
      <c r="C17" s="5">
        <v>41</v>
      </c>
      <c r="D17" s="12" t="str">
        <f t="shared" si="0"/>
        <v>Elder</v>
      </c>
      <c r="E17" s="5" t="s">
        <v>23</v>
      </c>
      <c r="F17" s="5" t="s">
        <v>17</v>
      </c>
      <c r="G17" s="5" t="s">
        <v>18</v>
      </c>
      <c r="H17" s="5" t="s">
        <v>26</v>
      </c>
      <c r="I17" s="5">
        <v>11</v>
      </c>
      <c r="J17" s="12" t="str">
        <f t="shared" si="1"/>
        <v>Senior</v>
      </c>
      <c r="K17" s="5">
        <v>1016</v>
      </c>
      <c r="L17" s="5">
        <v>5016</v>
      </c>
      <c r="M17" s="5">
        <v>39873</v>
      </c>
      <c r="N17" s="5" t="s">
        <v>30</v>
      </c>
      <c r="O17" s="5">
        <v>54</v>
      </c>
      <c r="P17" s="5">
        <v>1</v>
      </c>
      <c r="Q17" s="15" t="str">
        <f t="shared" si="2"/>
        <v>Poor</v>
      </c>
      <c r="R17" s="6" t="s">
        <v>40</v>
      </c>
    </row>
    <row r="18" spans="1:18" x14ac:dyDescent="0.3">
      <c r="A18" s="4">
        <v>17</v>
      </c>
      <c r="B18" s="5" t="s">
        <v>52</v>
      </c>
      <c r="C18" s="5">
        <v>21</v>
      </c>
      <c r="D18" s="12" t="str">
        <f t="shared" si="0"/>
        <v>Young</v>
      </c>
      <c r="E18" s="5" t="s">
        <v>16</v>
      </c>
      <c r="F18" s="5" t="s">
        <v>17</v>
      </c>
      <c r="G18" s="5" t="s">
        <v>25</v>
      </c>
      <c r="H18" s="5" t="s">
        <v>26</v>
      </c>
      <c r="I18" s="5">
        <v>3</v>
      </c>
      <c r="J18" s="12" t="str">
        <f t="shared" si="1"/>
        <v>Junior</v>
      </c>
      <c r="K18" s="5">
        <v>1017</v>
      </c>
      <c r="L18" s="5">
        <v>5017</v>
      </c>
      <c r="M18" s="5">
        <v>60372</v>
      </c>
      <c r="N18" s="5" t="s">
        <v>20</v>
      </c>
      <c r="O18" s="5">
        <v>45</v>
      </c>
      <c r="P18" s="5">
        <v>4</v>
      </c>
      <c r="Q18" s="15" t="str">
        <f t="shared" si="2"/>
        <v>Excellent</v>
      </c>
      <c r="R18" s="6" t="s">
        <v>40</v>
      </c>
    </row>
    <row r="19" spans="1:18" x14ac:dyDescent="0.3">
      <c r="A19" s="4">
        <v>18</v>
      </c>
      <c r="B19" s="5" t="s">
        <v>53</v>
      </c>
      <c r="C19" s="5">
        <v>43</v>
      </c>
      <c r="D19" s="12" t="str">
        <f t="shared" si="0"/>
        <v>Elder</v>
      </c>
      <c r="E19" s="5" t="s">
        <v>16</v>
      </c>
      <c r="F19" s="5" t="s">
        <v>43</v>
      </c>
      <c r="G19" s="5" t="s">
        <v>33</v>
      </c>
      <c r="H19" s="5" t="s">
        <v>26</v>
      </c>
      <c r="I19" s="5">
        <v>14</v>
      </c>
      <c r="J19" s="12" t="str">
        <f t="shared" si="1"/>
        <v>Senior</v>
      </c>
      <c r="K19" s="5">
        <v>1018</v>
      </c>
      <c r="L19" s="5">
        <v>5018</v>
      </c>
      <c r="M19" s="5">
        <v>109464</v>
      </c>
      <c r="N19" s="5" t="s">
        <v>20</v>
      </c>
      <c r="O19" s="5">
        <v>47</v>
      </c>
      <c r="P19" s="5">
        <v>4</v>
      </c>
      <c r="Q19" s="15" t="str">
        <f t="shared" si="2"/>
        <v>Excellent</v>
      </c>
      <c r="R19" s="6" t="s">
        <v>36</v>
      </c>
    </row>
    <row r="20" spans="1:18" x14ac:dyDescent="0.3">
      <c r="A20" s="4">
        <v>19</v>
      </c>
      <c r="B20" s="5" t="s">
        <v>54</v>
      </c>
      <c r="C20" s="5">
        <v>49</v>
      </c>
      <c r="D20" s="12" t="str">
        <f t="shared" si="0"/>
        <v>Elder</v>
      </c>
      <c r="E20" s="5" t="s">
        <v>23</v>
      </c>
      <c r="F20" s="5" t="s">
        <v>45</v>
      </c>
      <c r="G20" s="5" t="s">
        <v>33</v>
      </c>
      <c r="H20" s="5" t="s">
        <v>19</v>
      </c>
      <c r="I20" s="5">
        <v>10</v>
      </c>
      <c r="J20" s="12" t="str">
        <f t="shared" si="1"/>
        <v>Mid-level</v>
      </c>
      <c r="K20" s="5">
        <v>1019</v>
      </c>
      <c r="L20" s="5">
        <v>5019</v>
      </c>
      <c r="M20" s="5">
        <v>35379</v>
      </c>
      <c r="N20" s="5" t="s">
        <v>38</v>
      </c>
      <c r="O20" s="5">
        <v>12</v>
      </c>
      <c r="P20" s="5">
        <v>3</v>
      </c>
      <c r="Q20" s="15" t="str">
        <f t="shared" si="2"/>
        <v>Good</v>
      </c>
      <c r="R20" s="6" t="s">
        <v>31</v>
      </c>
    </row>
    <row r="21" spans="1:18" x14ac:dyDescent="0.3">
      <c r="A21" s="4">
        <v>20</v>
      </c>
      <c r="B21" s="5" t="s">
        <v>55</v>
      </c>
      <c r="C21" s="5">
        <v>57</v>
      </c>
      <c r="D21" s="12" t="str">
        <f t="shared" si="0"/>
        <v>Senior</v>
      </c>
      <c r="E21" s="5" t="s">
        <v>16</v>
      </c>
      <c r="F21" s="5" t="s">
        <v>43</v>
      </c>
      <c r="G21" s="5" t="s">
        <v>18</v>
      </c>
      <c r="H21" s="5" t="s">
        <v>29</v>
      </c>
      <c r="I21" s="5">
        <v>15</v>
      </c>
      <c r="J21" s="12" t="str">
        <f t="shared" si="1"/>
        <v>Senior</v>
      </c>
      <c r="K21" s="5">
        <v>1020</v>
      </c>
      <c r="L21" s="5">
        <v>5020</v>
      </c>
      <c r="M21" s="5">
        <v>56751</v>
      </c>
      <c r="N21" s="5" t="s">
        <v>38</v>
      </c>
      <c r="O21" s="5">
        <v>21</v>
      </c>
      <c r="P21" s="5">
        <v>4</v>
      </c>
      <c r="Q21" s="15" t="str">
        <f t="shared" si="2"/>
        <v>Excellent</v>
      </c>
      <c r="R21" s="6" t="s">
        <v>31</v>
      </c>
    </row>
    <row r="22" spans="1:18" x14ac:dyDescent="0.3">
      <c r="A22" s="4">
        <v>21</v>
      </c>
      <c r="B22" s="5" t="s">
        <v>56</v>
      </c>
      <c r="C22" s="5">
        <v>21</v>
      </c>
      <c r="D22" s="12" t="str">
        <f t="shared" si="0"/>
        <v>Young</v>
      </c>
      <c r="E22" s="5" t="s">
        <v>16</v>
      </c>
      <c r="F22" s="5" t="s">
        <v>24</v>
      </c>
      <c r="G22" s="5" t="s">
        <v>46</v>
      </c>
      <c r="H22" s="5" t="s">
        <v>26</v>
      </c>
      <c r="I22" s="5">
        <v>5</v>
      </c>
      <c r="J22" s="12" t="str">
        <f t="shared" si="1"/>
        <v>Junior</v>
      </c>
      <c r="K22" s="5">
        <v>1021</v>
      </c>
      <c r="L22" s="5">
        <v>5021</v>
      </c>
      <c r="M22" s="5">
        <v>109822</v>
      </c>
      <c r="N22" s="5" t="s">
        <v>20</v>
      </c>
      <c r="O22" s="5">
        <v>11</v>
      </c>
      <c r="P22" s="5">
        <v>4</v>
      </c>
      <c r="Q22" s="15" t="str">
        <f t="shared" si="2"/>
        <v>Excellent</v>
      </c>
      <c r="R22" s="6" t="s">
        <v>40</v>
      </c>
    </row>
    <row r="23" spans="1:18" x14ac:dyDescent="0.3">
      <c r="A23" s="4">
        <v>22</v>
      </c>
      <c r="B23" s="5" t="s">
        <v>57</v>
      </c>
      <c r="C23" s="5">
        <v>40</v>
      </c>
      <c r="D23" s="12" t="str">
        <f t="shared" si="0"/>
        <v>Mid Age</v>
      </c>
      <c r="E23" s="5" t="s">
        <v>16</v>
      </c>
      <c r="F23" s="5" t="s">
        <v>43</v>
      </c>
      <c r="G23" s="5" t="s">
        <v>33</v>
      </c>
      <c r="H23" s="5" t="s">
        <v>19</v>
      </c>
      <c r="I23" s="5">
        <v>13</v>
      </c>
      <c r="J23" s="12" t="str">
        <f t="shared" si="1"/>
        <v>Senior</v>
      </c>
      <c r="K23" s="5">
        <v>1022</v>
      </c>
      <c r="L23" s="5">
        <v>5022</v>
      </c>
      <c r="M23" s="5">
        <v>25110</v>
      </c>
      <c r="N23" s="5" t="s">
        <v>30</v>
      </c>
      <c r="O23" s="5">
        <v>92</v>
      </c>
      <c r="P23" s="5">
        <v>4</v>
      </c>
      <c r="Q23" s="15" t="str">
        <f t="shared" si="2"/>
        <v>Excellent</v>
      </c>
      <c r="R23" s="6" t="s">
        <v>31</v>
      </c>
    </row>
    <row r="24" spans="1:18" x14ac:dyDescent="0.3">
      <c r="A24" s="4">
        <v>23</v>
      </c>
      <c r="B24" s="5" t="s">
        <v>58</v>
      </c>
      <c r="C24" s="5">
        <v>52</v>
      </c>
      <c r="D24" s="12" t="str">
        <f t="shared" si="0"/>
        <v>Senior</v>
      </c>
      <c r="E24" s="5" t="s">
        <v>16</v>
      </c>
      <c r="F24" s="5" t="s">
        <v>43</v>
      </c>
      <c r="G24" s="5" t="s">
        <v>46</v>
      </c>
      <c r="H24" s="5" t="s">
        <v>29</v>
      </c>
      <c r="I24" s="5">
        <v>17</v>
      </c>
      <c r="J24" s="12" t="str">
        <f t="shared" si="1"/>
        <v>Expert</v>
      </c>
      <c r="K24" s="5">
        <v>1023</v>
      </c>
      <c r="L24" s="5">
        <v>5023</v>
      </c>
      <c r="M24" s="5">
        <v>74341</v>
      </c>
      <c r="N24" s="5" t="s">
        <v>20</v>
      </c>
      <c r="O24" s="5">
        <v>5</v>
      </c>
      <c r="P24" s="5">
        <v>4</v>
      </c>
      <c r="Q24" s="15" t="str">
        <f t="shared" si="2"/>
        <v>Excellent</v>
      </c>
      <c r="R24" s="6" t="s">
        <v>40</v>
      </c>
    </row>
    <row r="25" spans="1:18" x14ac:dyDescent="0.3">
      <c r="A25" s="4">
        <v>24</v>
      </c>
      <c r="B25" s="5" t="s">
        <v>59</v>
      </c>
      <c r="C25" s="5">
        <v>31</v>
      </c>
      <c r="D25" s="12" t="str">
        <f t="shared" si="0"/>
        <v>Mid Age</v>
      </c>
      <c r="E25" s="5" t="s">
        <v>23</v>
      </c>
      <c r="F25" s="5" t="s">
        <v>43</v>
      </c>
      <c r="G25" s="5" t="s">
        <v>18</v>
      </c>
      <c r="H25" s="5" t="s">
        <v>19</v>
      </c>
      <c r="I25" s="5">
        <v>11</v>
      </c>
      <c r="J25" s="12" t="str">
        <f t="shared" si="1"/>
        <v>Senior</v>
      </c>
      <c r="K25" s="5">
        <v>1024</v>
      </c>
      <c r="L25" s="5">
        <v>5024</v>
      </c>
      <c r="M25" s="5">
        <v>32087</v>
      </c>
      <c r="N25" s="5" t="s">
        <v>38</v>
      </c>
      <c r="O25" s="5">
        <v>81</v>
      </c>
      <c r="P25" s="5">
        <v>3</v>
      </c>
      <c r="Q25" s="15" t="str">
        <f t="shared" si="2"/>
        <v>Good</v>
      </c>
      <c r="R25" s="6" t="s">
        <v>31</v>
      </c>
    </row>
    <row r="26" spans="1:18" x14ac:dyDescent="0.3">
      <c r="A26" s="4">
        <v>25</v>
      </c>
      <c r="B26" s="5" t="s">
        <v>60</v>
      </c>
      <c r="C26" s="5">
        <v>41</v>
      </c>
      <c r="D26" s="12" t="str">
        <f t="shared" si="0"/>
        <v>Elder</v>
      </c>
      <c r="E26" s="5" t="s">
        <v>23</v>
      </c>
      <c r="F26" s="5" t="s">
        <v>43</v>
      </c>
      <c r="G26" s="5" t="s">
        <v>18</v>
      </c>
      <c r="H26" s="5" t="s">
        <v>29</v>
      </c>
      <c r="I26" s="5">
        <v>10</v>
      </c>
      <c r="J26" s="12" t="str">
        <f t="shared" si="1"/>
        <v>Mid-level</v>
      </c>
      <c r="K26" s="5">
        <v>1025</v>
      </c>
      <c r="L26" s="5">
        <v>5025</v>
      </c>
      <c r="M26" s="5">
        <v>43762</v>
      </c>
      <c r="N26" s="5" t="s">
        <v>20</v>
      </c>
      <c r="O26" s="5">
        <v>56</v>
      </c>
      <c r="P26" s="5">
        <v>2</v>
      </c>
      <c r="Q26" s="15" t="str">
        <f t="shared" si="2"/>
        <v>Average</v>
      </c>
      <c r="R26" s="6" t="s">
        <v>31</v>
      </c>
    </row>
    <row r="27" spans="1:18" x14ac:dyDescent="0.3">
      <c r="A27" s="4">
        <v>26</v>
      </c>
      <c r="B27" s="5" t="s">
        <v>61</v>
      </c>
      <c r="C27" s="5">
        <v>44</v>
      </c>
      <c r="D27" s="12" t="str">
        <f t="shared" si="0"/>
        <v>Elder</v>
      </c>
      <c r="E27" s="5" t="s">
        <v>16</v>
      </c>
      <c r="F27" s="5" t="s">
        <v>45</v>
      </c>
      <c r="G27" s="5" t="s">
        <v>25</v>
      </c>
      <c r="H27" s="5" t="s">
        <v>19</v>
      </c>
      <c r="I27" s="5">
        <v>12</v>
      </c>
      <c r="J27" s="12" t="str">
        <f t="shared" si="1"/>
        <v>Senior</v>
      </c>
      <c r="K27" s="5">
        <v>1026</v>
      </c>
      <c r="L27" s="5">
        <v>5026</v>
      </c>
      <c r="M27" s="5">
        <v>102617</v>
      </c>
      <c r="N27" s="5" t="s">
        <v>38</v>
      </c>
      <c r="O27" s="5">
        <v>20</v>
      </c>
      <c r="P27" s="5">
        <v>2</v>
      </c>
      <c r="Q27" s="15" t="str">
        <f t="shared" si="2"/>
        <v>Average</v>
      </c>
      <c r="R27" s="6" t="s">
        <v>31</v>
      </c>
    </row>
    <row r="28" spans="1:18" x14ac:dyDescent="0.3">
      <c r="A28" s="4">
        <v>27</v>
      </c>
      <c r="B28" s="5" t="s">
        <v>62</v>
      </c>
      <c r="C28" s="5">
        <v>46</v>
      </c>
      <c r="D28" s="12" t="str">
        <f t="shared" si="0"/>
        <v>Elder</v>
      </c>
      <c r="E28" s="5" t="s">
        <v>23</v>
      </c>
      <c r="F28" s="5" t="s">
        <v>24</v>
      </c>
      <c r="G28" s="5" t="s">
        <v>33</v>
      </c>
      <c r="H28" s="5" t="s">
        <v>29</v>
      </c>
      <c r="I28" s="5">
        <v>10</v>
      </c>
      <c r="J28" s="12" t="str">
        <f t="shared" si="1"/>
        <v>Mid-level</v>
      </c>
      <c r="K28" s="5">
        <v>1027</v>
      </c>
      <c r="L28" s="5">
        <v>5027</v>
      </c>
      <c r="M28" s="5">
        <v>29596</v>
      </c>
      <c r="N28" s="5" t="s">
        <v>38</v>
      </c>
      <c r="O28" s="5">
        <v>41</v>
      </c>
      <c r="P28" s="5">
        <v>1</v>
      </c>
      <c r="Q28" s="15" t="str">
        <f t="shared" si="2"/>
        <v>Poor</v>
      </c>
      <c r="R28" s="6" t="s">
        <v>40</v>
      </c>
    </row>
    <row r="29" spans="1:18" x14ac:dyDescent="0.3">
      <c r="A29" s="4">
        <v>28</v>
      </c>
      <c r="B29" s="5" t="s">
        <v>63</v>
      </c>
      <c r="C29" s="5">
        <v>47</v>
      </c>
      <c r="D29" s="12" t="str">
        <f t="shared" si="0"/>
        <v>Elder</v>
      </c>
      <c r="E29" s="5" t="s">
        <v>16</v>
      </c>
      <c r="F29" s="5" t="s">
        <v>45</v>
      </c>
      <c r="G29" s="5" t="s">
        <v>46</v>
      </c>
      <c r="H29" s="5" t="s">
        <v>26</v>
      </c>
      <c r="I29" s="5">
        <v>15</v>
      </c>
      <c r="J29" s="12" t="str">
        <f t="shared" si="1"/>
        <v>Senior</v>
      </c>
      <c r="K29" s="5">
        <v>1028</v>
      </c>
      <c r="L29" s="5">
        <v>5028</v>
      </c>
      <c r="M29" s="5">
        <v>38313</v>
      </c>
      <c r="N29" s="5" t="s">
        <v>20</v>
      </c>
      <c r="O29" s="5">
        <v>46</v>
      </c>
      <c r="P29" s="5">
        <v>4</v>
      </c>
      <c r="Q29" s="15" t="str">
        <f t="shared" si="2"/>
        <v>Excellent</v>
      </c>
      <c r="R29" s="6" t="s">
        <v>36</v>
      </c>
    </row>
    <row r="30" spans="1:18" x14ac:dyDescent="0.3">
      <c r="A30" s="4">
        <v>29</v>
      </c>
      <c r="B30" s="5" t="s">
        <v>64</v>
      </c>
      <c r="C30" s="5">
        <v>35</v>
      </c>
      <c r="D30" s="12" t="str">
        <f t="shared" si="0"/>
        <v>Mid Age</v>
      </c>
      <c r="E30" s="5" t="s">
        <v>23</v>
      </c>
      <c r="F30" s="5" t="s">
        <v>45</v>
      </c>
      <c r="G30" s="5" t="s">
        <v>25</v>
      </c>
      <c r="H30" s="5" t="s">
        <v>29</v>
      </c>
      <c r="I30" s="5">
        <v>14</v>
      </c>
      <c r="J30" s="12" t="str">
        <f t="shared" si="1"/>
        <v>Senior</v>
      </c>
      <c r="K30" s="5">
        <v>1029</v>
      </c>
      <c r="L30" s="5">
        <v>5029</v>
      </c>
      <c r="M30" s="5">
        <v>86549</v>
      </c>
      <c r="N30" s="5" t="s">
        <v>30</v>
      </c>
      <c r="O30" s="5">
        <v>12</v>
      </c>
      <c r="P30" s="5">
        <v>3</v>
      </c>
      <c r="Q30" s="15" t="str">
        <f t="shared" si="2"/>
        <v>Good</v>
      </c>
      <c r="R30" s="6" t="s">
        <v>31</v>
      </c>
    </row>
    <row r="31" spans="1:18" x14ac:dyDescent="0.3">
      <c r="A31" s="4">
        <v>30</v>
      </c>
      <c r="B31" s="5" t="s">
        <v>65</v>
      </c>
      <c r="C31" s="5">
        <v>34</v>
      </c>
      <c r="D31" s="12" t="str">
        <f t="shared" si="0"/>
        <v>Mid Age</v>
      </c>
      <c r="E31" s="5" t="s">
        <v>16</v>
      </c>
      <c r="F31" s="5" t="s">
        <v>43</v>
      </c>
      <c r="G31" s="5" t="s">
        <v>33</v>
      </c>
      <c r="H31" s="5" t="s">
        <v>19</v>
      </c>
      <c r="I31" s="5">
        <v>14</v>
      </c>
      <c r="J31" s="12" t="str">
        <f t="shared" si="1"/>
        <v>Senior</v>
      </c>
      <c r="K31" s="5">
        <v>1030</v>
      </c>
      <c r="L31" s="5">
        <v>5030</v>
      </c>
      <c r="M31" s="5">
        <v>43705</v>
      </c>
      <c r="N31" s="5" t="s">
        <v>27</v>
      </c>
      <c r="O31" s="5">
        <v>70</v>
      </c>
      <c r="P31" s="5">
        <v>1</v>
      </c>
      <c r="Q31" s="15" t="str">
        <f t="shared" si="2"/>
        <v>Poor</v>
      </c>
      <c r="R31" s="6" t="s">
        <v>40</v>
      </c>
    </row>
    <row r="32" spans="1:18" x14ac:dyDescent="0.3">
      <c r="A32" s="4">
        <v>31</v>
      </c>
      <c r="B32" s="5" t="s">
        <v>66</v>
      </c>
      <c r="C32" s="5">
        <v>22</v>
      </c>
      <c r="D32" s="12" t="str">
        <f t="shared" si="0"/>
        <v>Young</v>
      </c>
      <c r="E32" s="5" t="s">
        <v>16</v>
      </c>
      <c r="F32" s="5" t="s">
        <v>17</v>
      </c>
      <c r="G32" s="5" t="s">
        <v>25</v>
      </c>
      <c r="H32" s="5" t="s">
        <v>19</v>
      </c>
      <c r="I32" s="5">
        <v>3</v>
      </c>
      <c r="J32" s="12" t="str">
        <f t="shared" si="1"/>
        <v>Junior</v>
      </c>
      <c r="K32" s="5">
        <v>1031</v>
      </c>
      <c r="L32" s="5">
        <v>5031</v>
      </c>
      <c r="M32" s="5">
        <v>87364</v>
      </c>
      <c r="N32" s="5" t="s">
        <v>20</v>
      </c>
      <c r="O32" s="5">
        <v>17</v>
      </c>
      <c r="P32" s="5">
        <v>1</v>
      </c>
      <c r="Q32" s="15" t="str">
        <f t="shared" si="2"/>
        <v>Poor</v>
      </c>
      <c r="R32" s="6" t="s">
        <v>40</v>
      </c>
    </row>
    <row r="33" spans="1:18" x14ac:dyDescent="0.3">
      <c r="A33" s="4">
        <v>32</v>
      </c>
      <c r="B33" s="5" t="s">
        <v>67</v>
      </c>
      <c r="C33" s="5">
        <v>56</v>
      </c>
      <c r="D33" s="12" t="str">
        <f t="shared" si="0"/>
        <v>Senior</v>
      </c>
      <c r="E33" s="5" t="s">
        <v>16</v>
      </c>
      <c r="F33" s="5" t="s">
        <v>17</v>
      </c>
      <c r="G33" s="5" t="s">
        <v>18</v>
      </c>
      <c r="H33" s="5" t="s">
        <v>29</v>
      </c>
      <c r="I33" s="5">
        <v>10</v>
      </c>
      <c r="J33" s="12" t="str">
        <f t="shared" si="1"/>
        <v>Mid-level</v>
      </c>
      <c r="K33" s="5">
        <v>1032</v>
      </c>
      <c r="L33" s="5">
        <v>5032</v>
      </c>
      <c r="M33" s="5">
        <v>93445</v>
      </c>
      <c r="N33" s="5" t="s">
        <v>27</v>
      </c>
      <c r="O33" s="5">
        <v>19</v>
      </c>
      <c r="P33" s="5">
        <v>2</v>
      </c>
      <c r="Q33" s="15" t="str">
        <f t="shared" si="2"/>
        <v>Average</v>
      </c>
      <c r="R33" s="6" t="s">
        <v>31</v>
      </c>
    </row>
    <row r="34" spans="1:18" x14ac:dyDescent="0.3">
      <c r="A34" s="4">
        <v>33</v>
      </c>
      <c r="B34" s="5" t="s">
        <v>68</v>
      </c>
      <c r="C34" s="5">
        <v>26</v>
      </c>
      <c r="D34" s="12" t="str">
        <f t="shared" si="0"/>
        <v>Young</v>
      </c>
      <c r="E34" s="5" t="s">
        <v>16</v>
      </c>
      <c r="F34" s="5" t="s">
        <v>45</v>
      </c>
      <c r="G34" s="5" t="s">
        <v>33</v>
      </c>
      <c r="H34" s="5" t="s">
        <v>26</v>
      </c>
      <c r="I34" s="5">
        <v>18</v>
      </c>
      <c r="J34" s="12" t="str">
        <f t="shared" si="1"/>
        <v>Expert</v>
      </c>
      <c r="K34" s="5">
        <v>1033</v>
      </c>
      <c r="L34" s="5">
        <v>5033</v>
      </c>
      <c r="M34" s="5">
        <v>98645</v>
      </c>
      <c r="N34" s="5" t="s">
        <v>20</v>
      </c>
      <c r="O34" s="5">
        <v>26</v>
      </c>
      <c r="P34" s="5">
        <v>3</v>
      </c>
      <c r="Q34" s="15" t="str">
        <f t="shared" si="2"/>
        <v>Good</v>
      </c>
      <c r="R34" s="6" t="s">
        <v>31</v>
      </c>
    </row>
    <row r="35" spans="1:18" x14ac:dyDescent="0.3">
      <c r="A35" s="4">
        <v>34</v>
      </c>
      <c r="B35" s="5" t="s">
        <v>69</v>
      </c>
      <c r="C35" s="5">
        <v>40</v>
      </c>
      <c r="D35" s="12" t="str">
        <f t="shared" si="0"/>
        <v>Mid Age</v>
      </c>
      <c r="E35" s="5" t="s">
        <v>16</v>
      </c>
      <c r="F35" s="5" t="s">
        <v>45</v>
      </c>
      <c r="G35" s="5" t="s">
        <v>25</v>
      </c>
      <c r="H35" s="5" t="s">
        <v>26</v>
      </c>
      <c r="I35" s="5">
        <v>14</v>
      </c>
      <c r="J35" s="12" t="str">
        <f t="shared" si="1"/>
        <v>Senior</v>
      </c>
      <c r="K35" s="5">
        <v>1034</v>
      </c>
      <c r="L35" s="5">
        <v>5034</v>
      </c>
      <c r="M35" s="5">
        <v>22023</v>
      </c>
      <c r="N35" s="5" t="s">
        <v>27</v>
      </c>
      <c r="O35" s="5">
        <v>48</v>
      </c>
      <c r="P35" s="5">
        <v>3</v>
      </c>
      <c r="Q35" s="15" t="str">
        <f t="shared" si="2"/>
        <v>Good</v>
      </c>
      <c r="R35" s="6" t="s">
        <v>36</v>
      </c>
    </row>
    <row r="36" spans="1:18" x14ac:dyDescent="0.3">
      <c r="A36" s="4">
        <v>35</v>
      </c>
      <c r="B36" s="5" t="s">
        <v>70</v>
      </c>
      <c r="C36" s="5">
        <v>28</v>
      </c>
      <c r="D36" s="12" t="str">
        <f t="shared" si="0"/>
        <v>Young</v>
      </c>
      <c r="E36" s="5" t="s">
        <v>16</v>
      </c>
      <c r="F36" s="5" t="s">
        <v>43</v>
      </c>
      <c r="G36" s="5" t="s">
        <v>25</v>
      </c>
      <c r="H36" s="5" t="s">
        <v>29</v>
      </c>
      <c r="I36" s="5">
        <v>3</v>
      </c>
      <c r="J36" s="12" t="str">
        <f t="shared" si="1"/>
        <v>Junior</v>
      </c>
      <c r="K36" s="5">
        <v>1035</v>
      </c>
      <c r="L36" s="5">
        <v>5035</v>
      </c>
      <c r="M36" s="5">
        <v>79796</v>
      </c>
      <c r="N36" s="5" t="s">
        <v>30</v>
      </c>
      <c r="O36" s="5">
        <v>52</v>
      </c>
      <c r="P36" s="5">
        <v>3</v>
      </c>
      <c r="Q36" s="15" t="str">
        <f t="shared" si="2"/>
        <v>Good</v>
      </c>
      <c r="R36" s="6" t="s">
        <v>40</v>
      </c>
    </row>
    <row r="37" spans="1:18" x14ac:dyDescent="0.3">
      <c r="A37" s="4">
        <v>36</v>
      </c>
      <c r="B37" s="5" t="s">
        <v>71</v>
      </c>
      <c r="C37" s="5">
        <v>58</v>
      </c>
      <c r="D37" s="12" t="str">
        <f t="shared" si="0"/>
        <v>Senior</v>
      </c>
      <c r="E37" s="5" t="s">
        <v>23</v>
      </c>
      <c r="F37" s="5" t="s">
        <v>45</v>
      </c>
      <c r="G37" s="5" t="s">
        <v>46</v>
      </c>
      <c r="H37" s="5" t="s">
        <v>29</v>
      </c>
      <c r="I37" s="5">
        <v>12</v>
      </c>
      <c r="J37" s="12" t="str">
        <f t="shared" si="1"/>
        <v>Senior</v>
      </c>
      <c r="K37" s="5">
        <v>1036</v>
      </c>
      <c r="L37" s="5">
        <v>5036</v>
      </c>
      <c r="M37" s="5">
        <v>100073</v>
      </c>
      <c r="N37" s="5" t="s">
        <v>30</v>
      </c>
      <c r="O37" s="5">
        <v>96</v>
      </c>
      <c r="P37" s="5">
        <v>2</v>
      </c>
      <c r="Q37" s="15" t="str">
        <f t="shared" si="2"/>
        <v>Average</v>
      </c>
      <c r="R37" s="6" t="s">
        <v>40</v>
      </c>
    </row>
    <row r="38" spans="1:18" x14ac:dyDescent="0.3">
      <c r="A38" s="4">
        <v>37</v>
      </c>
      <c r="B38" s="5" t="s">
        <v>72</v>
      </c>
      <c r="C38" s="5">
        <v>37</v>
      </c>
      <c r="D38" s="12" t="str">
        <f t="shared" si="0"/>
        <v>Mid Age</v>
      </c>
      <c r="E38" s="5" t="s">
        <v>16</v>
      </c>
      <c r="F38" s="5" t="s">
        <v>43</v>
      </c>
      <c r="G38" s="5" t="s">
        <v>25</v>
      </c>
      <c r="H38" s="5" t="s">
        <v>19</v>
      </c>
      <c r="I38" s="5">
        <v>18</v>
      </c>
      <c r="J38" s="12" t="str">
        <f t="shared" si="1"/>
        <v>Expert</v>
      </c>
      <c r="K38" s="5">
        <v>1037</v>
      </c>
      <c r="L38" s="5">
        <v>5037</v>
      </c>
      <c r="M38" s="5">
        <v>112197</v>
      </c>
      <c r="N38" s="5" t="s">
        <v>20</v>
      </c>
      <c r="O38" s="5">
        <v>70</v>
      </c>
      <c r="P38" s="5">
        <v>2</v>
      </c>
      <c r="Q38" s="15" t="str">
        <f t="shared" si="2"/>
        <v>Average</v>
      </c>
      <c r="R38" s="6" t="s">
        <v>21</v>
      </c>
    </row>
    <row r="39" spans="1:18" x14ac:dyDescent="0.3">
      <c r="A39" s="4">
        <v>38</v>
      </c>
      <c r="B39" s="5" t="s">
        <v>73</v>
      </c>
      <c r="C39" s="5">
        <v>23</v>
      </c>
      <c r="D39" s="12" t="str">
        <f t="shared" si="0"/>
        <v>Young</v>
      </c>
      <c r="E39" s="5" t="s">
        <v>23</v>
      </c>
      <c r="F39" s="5" t="s">
        <v>17</v>
      </c>
      <c r="G39" s="5" t="s">
        <v>33</v>
      </c>
      <c r="H39" s="5" t="s">
        <v>26</v>
      </c>
      <c r="I39" s="5">
        <v>1</v>
      </c>
      <c r="J39" s="12" t="str">
        <f t="shared" si="1"/>
        <v>Beginner</v>
      </c>
      <c r="K39" s="5">
        <v>1038</v>
      </c>
      <c r="L39" s="5">
        <v>5038</v>
      </c>
      <c r="M39" s="5">
        <v>84429</v>
      </c>
      <c r="N39" s="5" t="s">
        <v>38</v>
      </c>
      <c r="O39" s="5">
        <v>55</v>
      </c>
      <c r="P39" s="5">
        <v>2</v>
      </c>
      <c r="Q39" s="15" t="str">
        <f t="shared" si="2"/>
        <v>Average</v>
      </c>
      <c r="R39" s="6" t="s">
        <v>40</v>
      </c>
    </row>
    <row r="40" spans="1:18" x14ac:dyDescent="0.3">
      <c r="A40" s="4">
        <v>39</v>
      </c>
      <c r="B40" s="5" t="s">
        <v>74</v>
      </c>
      <c r="C40" s="5">
        <v>44</v>
      </c>
      <c r="D40" s="12" t="str">
        <f t="shared" si="0"/>
        <v>Elder</v>
      </c>
      <c r="E40" s="5" t="s">
        <v>16</v>
      </c>
      <c r="F40" s="5" t="s">
        <v>17</v>
      </c>
      <c r="G40" s="5" t="s">
        <v>33</v>
      </c>
      <c r="H40" s="5" t="s">
        <v>29</v>
      </c>
      <c r="I40" s="5">
        <v>13</v>
      </c>
      <c r="J40" s="12" t="str">
        <f t="shared" si="1"/>
        <v>Senior</v>
      </c>
      <c r="K40" s="5">
        <v>1039</v>
      </c>
      <c r="L40" s="5">
        <v>5039</v>
      </c>
      <c r="M40" s="5">
        <v>81627</v>
      </c>
      <c r="N40" s="5" t="s">
        <v>27</v>
      </c>
      <c r="O40" s="5">
        <v>75</v>
      </c>
      <c r="P40" s="5">
        <v>2</v>
      </c>
      <c r="Q40" s="15" t="str">
        <f t="shared" si="2"/>
        <v>Average</v>
      </c>
      <c r="R40" s="6" t="s">
        <v>36</v>
      </c>
    </row>
    <row r="41" spans="1:18" x14ac:dyDescent="0.3">
      <c r="A41" s="4">
        <v>40</v>
      </c>
      <c r="B41" s="5" t="s">
        <v>75</v>
      </c>
      <c r="C41" s="5">
        <v>33</v>
      </c>
      <c r="D41" s="12" t="str">
        <f t="shared" si="0"/>
        <v>Mid Age</v>
      </c>
      <c r="E41" s="5" t="s">
        <v>23</v>
      </c>
      <c r="F41" s="5" t="s">
        <v>24</v>
      </c>
      <c r="G41" s="5" t="s">
        <v>46</v>
      </c>
      <c r="H41" s="5" t="s">
        <v>26</v>
      </c>
      <c r="I41" s="5">
        <v>3</v>
      </c>
      <c r="J41" s="12" t="str">
        <f t="shared" si="1"/>
        <v>Junior</v>
      </c>
      <c r="K41" s="5">
        <v>1040</v>
      </c>
      <c r="L41" s="5">
        <v>5040</v>
      </c>
      <c r="M41" s="5">
        <v>53848</v>
      </c>
      <c r="N41" s="5" t="s">
        <v>38</v>
      </c>
      <c r="O41" s="5">
        <v>33</v>
      </c>
      <c r="P41" s="5">
        <v>2</v>
      </c>
      <c r="Q41" s="15" t="str">
        <f t="shared" si="2"/>
        <v>Average</v>
      </c>
      <c r="R41" s="6" t="s">
        <v>21</v>
      </c>
    </row>
    <row r="42" spans="1:18" x14ac:dyDescent="0.3">
      <c r="A42" s="4">
        <v>41</v>
      </c>
      <c r="B42" s="5" t="s">
        <v>76</v>
      </c>
      <c r="C42" s="5">
        <v>28</v>
      </c>
      <c r="D42" s="12" t="str">
        <f t="shared" si="0"/>
        <v>Young</v>
      </c>
      <c r="E42" s="5" t="s">
        <v>23</v>
      </c>
      <c r="F42" s="5" t="s">
        <v>17</v>
      </c>
      <c r="G42" s="5" t="s">
        <v>33</v>
      </c>
      <c r="H42" s="5" t="s">
        <v>29</v>
      </c>
      <c r="I42" s="5">
        <v>15</v>
      </c>
      <c r="J42" s="12" t="str">
        <f t="shared" si="1"/>
        <v>Senior</v>
      </c>
      <c r="K42" s="5">
        <v>1041</v>
      </c>
      <c r="L42" s="5">
        <v>5041</v>
      </c>
      <c r="M42" s="5">
        <v>57804</v>
      </c>
      <c r="N42" s="5" t="s">
        <v>38</v>
      </c>
      <c r="O42" s="5">
        <v>62</v>
      </c>
      <c r="P42" s="5">
        <v>4</v>
      </c>
      <c r="Q42" s="15" t="str">
        <f t="shared" si="2"/>
        <v>Excellent</v>
      </c>
      <c r="R42" s="6" t="s">
        <v>21</v>
      </c>
    </row>
    <row r="43" spans="1:18" x14ac:dyDescent="0.3">
      <c r="A43" s="4">
        <v>42</v>
      </c>
      <c r="B43" s="5" t="s">
        <v>77</v>
      </c>
      <c r="C43" s="5">
        <v>45</v>
      </c>
      <c r="D43" s="12" t="str">
        <f t="shared" si="0"/>
        <v>Elder</v>
      </c>
      <c r="E43" s="5" t="s">
        <v>23</v>
      </c>
      <c r="F43" s="5" t="s">
        <v>45</v>
      </c>
      <c r="G43" s="5" t="s">
        <v>18</v>
      </c>
      <c r="H43" s="5" t="s">
        <v>29</v>
      </c>
      <c r="I43" s="5">
        <v>19</v>
      </c>
      <c r="J43" s="12" t="str">
        <f t="shared" si="1"/>
        <v>Expert</v>
      </c>
      <c r="K43" s="5">
        <v>1042</v>
      </c>
      <c r="L43" s="5">
        <v>5042</v>
      </c>
      <c r="M43" s="5">
        <v>35379</v>
      </c>
      <c r="N43" s="5" t="s">
        <v>38</v>
      </c>
      <c r="O43" s="5">
        <v>88</v>
      </c>
      <c r="P43" s="5">
        <v>4</v>
      </c>
      <c r="Q43" s="15" t="str">
        <f t="shared" si="2"/>
        <v>Excellent</v>
      </c>
      <c r="R43" s="6" t="s">
        <v>21</v>
      </c>
    </row>
    <row r="44" spans="1:18" x14ac:dyDescent="0.3">
      <c r="A44" s="4">
        <v>43</v>
      </c>
      <c r="B44" s="5" t="s">
        <v>78</v>
      </c>
      <c r="C44" s="5">
        <v>21</v>
      </c>
      <c r="D44" s="12" t="str">
        <f t="shared" si="0"/>
        <v>Young</v>
      </c>
      <c r="E44" s="5" t="s">
        <v>16</v>
      </c>
      <c r="F44" s="5" t="s">
        <v>17</v>
      </c>
      <c r="G44" s="5" t="s">
        <v>33</v>
      </c>
      <c r="H44" s="5" t="s">
        <v>26</v>
      </c>
      <c r="I44" s="5">
        <v>13</v>
      </c>
      <c r="J44" s="12" t="str">
        <f t="shared" si="1"/>
        <v>Senior</v>
      </c>
      <c r="K44" s="5">
        <v>1043</v>
      </c>
      <c r="L44" s="5">
        <v>5043</v>
      </c>
      <c r="M44" s="5">
        <v>79664</v>
      </c>
      <c r="N44" s="5" t="s">
        <v>30</v>
      </c>
      <c r="O44" s="5">
        <v>23</v>
      </c>
      <c r="P44" s="5">
        <v>3</v>
      </c>
      <c r="Q44" s="15" t="str">
        <f t="shared" si="2"/>
        <v>Good</v>
      </c>
      <c r="R44" s="6" t="s">
        <v>31</v>
      </c>
    </row>
    <row r="45" spans="1:18" x14ac:dyDescent="0.3">
      <c r="A45" s="4">
        <v>44</v>
      </c>
      <c r="B45" s="5" t="s">
        <v>79</v>
      </c>
      <c r="C45" s="5">
        <v>39</v>
      </c>
      <c r="D45" s="12" t="str">
        <f t="shared" si="0"/>
        <v>Mid Age</v>
      </c>
      <c r="E45" s="5" t="s">
        <v>16</v>
      </c>
      <c r="F45" s="5" t="s">
        <v>43</v>
      </c>
      <c r="G45" s="5" t="s">
        <v>33</v>
      </c>
      <c r="H45" s="5" t="s">
        <v>29</v>
      </c>
      <c r="I45" s="5">
        <v>14</v>
      </c>
      <c r="J45" s="12" t="str">
        <f t="shared" si="1"/>
        <v>Senior</v>
      </c>
      <c r="K45" s="5">
        <v>1044</v>
      </c>
      <c r="L45" s="5">
        <v>5044</v>
      </c>
      <c r="M45" s="5">
        <v>47766</v>
      </c>
      <c r="N45" s="5" t="s">
        <v>20</v>
      </c>
      <c r="O45" s="5">
        <v>15</v>
      </c>
      <c r="P45" s="5">
        <v>1</v>
      </c>
      <c r="Q45" s="15" t="str">
        <f t="shared" si="2"/>
        <v>Poor</v>
      </c>
      <c r="R45" s="6" t="s">
        <v>31</v>
      </c>
    </row>
    <row r="46" spans="1:18" x14ac:dyDescent="0.3">
      <c r="A46" s="4">
        <v>45</v>
      </c>
      <c r="B46" s="5" t="s">
        <v>80</v>
      </c>
      <c r="C46" s="5">
        <v>47</v>
      </c>
      <c r="D46" s="12" t="str">
        <f t="shared" si="0"/>
        <v>Elder</v>
      </c>
      <c r="E46" s="5" t="s">
        <v>23</v>
      </c>
      <c r="F46" s="5" t="s">
        <v>17</v>
      </c>
      <c r="G46" s="5" t="s">
        <v>25</v>
      </c>
      <c r="H46" s="5" t="s">
        <v>29</v>
      </c>
      <c r="I46" s="5">
        <v>2</v>
      </c>
      <c r="J46" s="12" t="str">
        <f t="shared" si="1"/>
        <v>Beginner</v>
      </c>
      <c r="K46" s="5">
        <v>1045</v>
      </c>
      <c r="L46" s="5">
        <v>5045</v>
      </c>
      <c r="M46" s="5">
        <v>88099</v>
      </c>
      <c r="N46" s="5" t="s">
        <v>20</v>
      </c>
      <c r="O46" s="5">
        <v>27</v>
      </c>
      <c r="P46" s="5">
        <v>3</v>
      </c>
      <c r="Q46" s="15" t="str">
        <f t="shared" si="2"/>
        <v>Good</v>
      </c>
      <c r="R46" s="6" t="s">
        <v>40</v>
      </c>
    </row>
    <row r="47" spans="1:18" x14ac:dyDescent="0.3">
      <c r="A47" s="4">
        <v>46</v>
      </c>
      <c r="B47" s="5" t="s">
        <v>81</v>
      </c>
      <c r="C47" s="5">
        <v>26</v>
      </c>
      <c r="D47" s="12" t="str">
        <f t="shared" si="0"/>
        <v>Young</v>
      </c>
      <c r="E47" s="5" t="s">
        <v>16</v>
      </c>
      <c r="F47" s="5" t="s">
        <v>24</v>
      </c>
      <c r="G47" s="5" t="s">
        <v>25</v>
      </c>
      <c r="H47" s="5" t="s">
        <v>19</v>
      </c>
      <c r="I47" s="5">
        <v>7</v>
      </c>
      <c r="J47" s="12" t="str">
        <f t="shared" si="1"/>
        <v>Mid-level</v>
      </c>
      <c r="K47" s="5">
        <v>1046</v>
      </c>
      <c r="L47" s="5">
        <v>5046</v>
      </c>
      <c r="M47" s="5">
        <v>56060</v>
      </c>
      <c r="N47" s="5" t="s">
        <v>30</v>
      </c>
      <c r="O47" s="5">
        <v>75</v>
      </c>
      <c r="P47" s="5">
        <v>1</v>
      </c>
      <c r="Q47" s="15" t="str">
        <f t="shared" si="2"/>
        <v>Poor</v>
      </c>
      <c r="R47" s="6" t="s">
        <v>21</v>
      </c>
    </row>
    <row r="48" spans="1:18" x14ac:dyDescent="0.3">
      <c r="A48" s="4">
        <v>47</v>
      </c>
      <c r="B48" s="5" t="s">
        <v>82</v>
      </c>
      <c r="C48" s="5">
        <v>27</v>
      </c>
      <c r="D48" s="12" t="str">
        <f t="shared" si="0"/>
        <v>Young</v>
      </c>
      <c r="E48" s="5" t="s">
        <v>23</v>
      </c>
      <c r="F48" s="5" t="s">
        <v>17</v>
      </c>
      <c r="G48" s="5" t="s">
        <v>33</v>
      </c>
      <c r="H48" s="5" t="s">
        <v>29</v>
      </c>
      <c r="I48" s="5">
        <v>15</v>
      </c>
      <c r="J48" s="12" t="str">
        <f t="shared" si="1"/>
        <v>Senior</v>
      </c>
      <c r="K48" s="5">
        <v>1047</v>
      </c>
      <c r="L48" s="5">
        <v>5047</v>
      </c>
      <c r="M48" s="5">
        <v>114733</v>
      </c>
      <c r="N48" s="5" t="s">
        <v>30</v>
      </c>
      <c r="O48" s="5">
        <v>64</v>
      </c>
      <c r="P48" s="5">
        <v>2</v>
      </c>
      <c r="Q48" s="15" t="str">
        <f t="shared" si="2"/>
        <v>Average</v>
      </c>
      <c r="R48" s="6" t="s">
        <v>36</v>
      </c>
    </row>
    <row r="49" spans="1:18" x14ac:dyDescent="0.3">
      <c r="A49" s="4">
        <v>48</v>
      </c>
      <c r="B49" s="5" t="s">
        <v>83</v>
      </c>
      <c r="C49" s="5">
        <v>54</v>
      </c>
      <c r="D49" s="12" t="str">
        <f t="shared" si="0"/>
        <v>Senior</v>
      </c>
      <c r="E49" s="5" t="s">
        <v>16</v>
      </c>
      <c r="F49" s="5" t="s">
        <v>43</v>
      </c>
      <c r="G49" s="5" t="s">
        <v>46</v>
      </c>
      <c r="H49" s="5" t="s">
        <v>29</v>
      </c>
      <c r="I49" s="5">
        <v>9</v>
      </c>
      <c r="J49" s="12" t="str">
        <f t="shared" si="1"/>
        <v>Mid-level</v>
      </c>
      <c r="K49" s="5">
        <v>1048</v>
      </c>
      <c r="L49" s="5">
        <v>5048</v>
      </c>
      <c r="M49" s="5">
        <v>89122</v>
      </c>
      <c r="N49" s="5" t="s">
        <v>20</v>
      </c>
      <c r="O49" s="5">
        <v>81</v>
      </c>
      <c r="P49" s="5">
        <v>1</v>
      </c>
      <c r="Q49" s="15" t="str">
        <f t="shared" si="2"/>
        <v>Poor</v>
      </c>
      <c r="R49" s="6" t="s">
        <v>31</v>
      </c>
    </row>
    <row r="50" spans="1:18" x14ac:dyDescent="0.3">
      <c r="A50" s="4">
        <v>49</v>
      </c>
      <c r="B50" s="5" t="s">
        <v>84</v>
      </c>
      <c r="C50" s="5">
        <v>33</v>
      </c>
      <c r="D50" s="12" t="str">
        <f t="shared" si="0"/>
        <v>Mid Age</v>
      </c>
      <c r="E50" s="5" t="s">
        <v>23</v>
      </c>
      <c r="F50" s="5" t="s">
        <v>43</v>
      </c>
      <c r="G50" s="5" t="s">
        <v>25</v>
      </c>
      <c r="H50" s="5" t="s">
        <v>29</v>
      </c>
      <c r="I50" s="5">
        <v>3</v>
      </c>
      <c r="J50" s="12" t="str">
        <f t="shared" si="1"/>
        <v>Junior</v>
      </c>
      <c r="K50" s="5">
        <v>1049</v>
      </c>
      <c r="L50" s="5">
        <v>5049</v>
      </c>
      <c r="M50" s="5">
        <v>36087</v>
      </c>
      <c r="N50" s="5" t="s">
        <v>38</v>
      </c>
      <c r="O50" s="5">
        <v>51</v>
      </c>
      <c r="P50" s="5">
        <v>3</v>
      </c>
      <c r="Q50" s="15" t="str">
        <f t="shared" si="2"/>
        <v>Good</v>
      </c>
      <c r="R50" s="6" t="s">
        <v>36</v>
      </c>
    </row>
    <row r="51" spans="1:18" x14ac:dyDescent="0.3">
      <c r="A51" s="4">
        <v>50</v>
      </c>
      <c r="B51" s="5" t="s">
        <v>85</v>
      </c>
      <c r="C51" s="5">
        <v>36</v>
      </c>
      <c r="D51" s="12" t="str">
        <f t="shared" si="0"/>
        <v>Mid Age</v>
      </c>
      <c r="E51" s="5" t="s">
        <v>23</v>
      </c>
      <c r="F51" s="5" t="s">
        <v>45</v>
      </c>
      <c r="G51" s="5" t="s">
        <v>46</v>
      </c>
      <c r="H51" s="5" t="s">
        <v>19</v>
      </c>
      <c r="I51" s="5">
        <v>17</v>
      </c>
      <c r="J51" s="12" t="str">
        <f t="shared" si="1"/>
        <v>Expert</v>
      </c>
      <c r="K51" s="5">
        <v>1050</v>
      </c>
      <c r="L51" s="5">
        <v>5050</v>
      </c>
      <c r="M51" s="5">
        <v>68868</v>
      </c>
      <c r="N51" s="5" t="s">
        <v>27</v>
      </c>
      <c r="O51" s="5">
        <v>53</v>
      </c>
      <c r="P51" s="5">
        <v>3</v>
      </c>
      <c r="Q51" s="15" t="str">
        <f t="shared" si="2"/>
        <v>Good</v>
      </c>
      <c r="R51" s="6" t="s">
        <v>36</v>
      </c>
    </row>
    <row r="52" spans="1:18" x14ac:dyDescent="0.3">
      <c r="A52" s="4">
        <v>51</v>
      </c>
      <c r="B52" s="5" t="s">
        <v>86</v>
      </c>
      <c r="C52" s="5">
        <v>55</v>
      </c>
      <c r="D52" s="12" t="str">
        <f t="shared" si="0"/>
        <v>Senior</v>
      </c>
      <c r="E52" s="5" t="s">
        <v>16</v>
      </c>
      <c r="F52" s="5" t="s">
        <v>17</v>
      </c>
      <c r="G52" s="5" t="s">
        <v>33</v>
      </c>
      <c r="H52" s="5" t="s">
        <v>26</v>
      </c>
      <c r="I52" s="5">
        <v>1</v>
      </c>
      <c r="J52" s="12" t="str">
        <f t="shared" si="1"/>
        <v>Beginner</v>
      </c>
      <c r="K52" s="5">
        <v>1051</v>
      </c>
      <c r="L52" s="5">
        <v>5051</v>
      </c>
      <c r="M52" s="5">
        <v>43225</v>
      </c>
      <c r="N52" s="5" t="s">
        <v>27</v>
      </c>
      <c r="O52" s="5">
        <v>78</v>
      </c>
      <c r="P52" s="5">
        <v>1</v>
      </c>
      <c r="Q52" s="15" t="str">
        <f t="shared" si="2"/>
        <v>Poor</v>
      </c>
      <c r="R52" s="6" t="s">
        <v>31</v>
      </c>
    </row>
    <row r="53" spans="1:18" x14ac:dyDescent="0.3">
      <c r="A53" s="4">
        <v>52</v>
      </c>
      <c r="B53" s="5" t="s">
        <v>87</v>
      </c>
      <c r="C53" s="5">
        <v>59</v>
      </c>
      <c r="D53" s="12" t="str">
        <f t="shared" si="0"/>
        <v>Senior</v>
      </c>
      <c r="E53" s="5" t="s">
        <v>23</v>
      </c>
      <c r="F53" s="5" t="s">
        <v>43</v>
      </c>
      <c r="G53" s="5" t="s">
        <v>33</v>
      </c>
      <c r="H53" s="5" t="s">
        <v>19</v>
      </c>
      <c r="I53" s="5">
        <v>16</v>
      </c>
      <c r="J53" s="12" t="str">
        <f t="shared" si="1"/>
        <v>Expert</v>
      </c>
      <c r="K53" s="5">
        <v>1052</v>
      </c>
      <c r="L53" s="5">
        <v>5052</v>
      </c>
      <c r="M53" s="5">
        <v>115286</v>
      </c>
      <c r="N53" s="5" t="s">
        <v>27</v>
      </c>
      <c r="O53" s="5">
        <v>91</v>
      </c>
      <c r="P53" s="5">
        <v>4</v>
      </c>
      <c r="Q53" s="15" t="str">
        <f t="shared" si="2"/>
        <v>Excellent</v>
      </c>
      <c r="R53" s="6" t="s">
        <v>31</v>
      </c>
    </row>
    <row r="54" spans="1:18" x14ac:dyDescent="0.3">
      <c r="A54" s="4">
        <v>53</v>
      </c>
      <c r="B54" s="5" t="s">
        <v>88</v>
      </c>
      <c r="C54" s="5">
        <v>23</v>
      </c>
      <c r="D54" s="12" t="str">
        <f t="shared" si="0"/>
        <v>Young</v>
      </c>
      <c r="E54" s="5" t="s">
        <v>16</v>
      </c>
      <c r="F54" s="5" t="s">
        <v>24</v>
      </c>
      <c r="G54" s="5" t="s">
        <v>18</v>
      </c>
      <c r="H54" s="5" t="s">
        <v>19</v>
      </c>
      <c r="I54" s="5">
        <v>12</v>
      </c>
      <c r="J54" s="12" t="str">
        <f t="shared" si="1"/>
        <v>Senior</v>
      </c>
      <c r="K54" s="5">
        <v>1053</v>
      </c>
      <c r="L54" s="5">
        <v>5053</v>
      </c>
      <c r="M54" s="5">
        <v>26643</v>
      </c>
      <c r="N54" s="5" t="s">
        <v>38</v>
      </c>
      <c r="O54" s="5">
        <v>82</v>
      </c>
      <c r="P54" s="5">
        <v>2</v>
      </c>
      <c r="Q54" s="15" t="str">
        <f t="shared" si="2"/>
        <v>Average</v>
      </c>
      <c r="R54" s="6" t="s">
        <v>31</v>
      </c>
    </row>
    <row r="55" spans="1:18" x14ac:dyDescent="0.3">
      <c r="A55" s="4">
        <v>54</v>
      </c>
      <c r="B55" s="5" t="s">
        <v>89</v>
      </c>
      <c r="C55" s="5">
        <v>21</v>
      </c>
      <c r="D55" s="12" t="str">
        <f t="shared" si="0"/>
        <v>Young</v>
      </c>
      <c r="E55" s="5" t="s">
        <v>23</v>
      </c>
      <c r="F55" s="5" t="s">
        <v>45</v>
      </c>
      <c r="G55" s="5" t="s">
        <v>25</v>
      </c>
      <c r="H55" s="5" t="s">
        <v>26</v>
      </c>
      <c r="I55" s="5">
        <v>3</v>
      </c>
      <c r="J55" s="12" t="str">
        <f t="shared" si="1"/>
        <v>Junior</v>
      </c>
      <c r="K55" s="5">
        <v>1054</v>
      </c>
      <c r="L55" s="5">
        <v>5054</v>
      </c>
      <c r="M55" s="5">
        <v>113059</v>
      </c>
      <c r="N55" s="5" t="s">
        <v>20</v>
      </c>
      <c r="O55" s="5">
        <v>92</v>
      </c>
      <c r="P55" s="5">
        <v>2</v>
      </c>
      <c r="Q55" s="15" t="str">
        <f t="shared" si="2"/>
        <v>Average</v>
      </c>
      <c r="R55" s="6" t="s">
        <v>31</v>
      </c>
    </row>
    <row r="56" spans="1:18" x14ac:dyDescent="0.3">
      <c r="A56" s="4">
        <v>55</v>
      </c>
      <c r="B56" s="5" t="s">
        <v>90</v>
      </c>
      <c r="C56" s="5">
        <v>25</v>
      </c>
      <c r="D56" s="12" t="str">
        <f t="shared" si="0"/>
        <v>Young</v>
      </c>
      <c r="E56" s="5" t="s">
        <v>23</v>
      </c>
      <c r="F56" s="5" t="s">
        <v>24</v>
      </c>
      <c r="G56" s="5" t="s">
        <v>33</v>
      </c>
      <c r="H56" s="5" t="s">
        <v>19</v>
      </c>
      <c r="I56" s="5">
        <v>10</v>
      </c>
      <c r="J56" s="12" t="str">
        <f t="shared" si="1"/>
        <v>Mid-level</v>
      </c>
      <c r="K56" s="5">
        <v>1055</v>
      </c>
      <c r="L56" s="5">
        <v>5055</v>
      </c>
      <c r="M56" s="5">
        <v>56727</v>
      </c>
      <c r="N56" s="5" t="s">
        <v>30</v>
      </c>
      <c r="O56" s="5">
        <v>51</v>
      </c>
      <c r="P56" s="5">
        <v>3</v>
      </c>
      <c r="Q56" s="15" t="str">
        <f t="shared" si="2"/>
        <v>Good</v>
      </c>
      <c r="R56" s="6" t="s">
        <v>21</v>
      </c>
    </row>
    <row r="57" spans="1:18" x14ac:dyDescent="0.3">
      <c r="A57" s="4">
        <v>56</v>
      </c>
      <c r="B57" s="5" t="s">
        <v>91</v>
      </c>
      <c r="C57" s="5">
        <v>23</v>
      </c>
      <c r="D57" s="12" t="str">
        <f t="shared" si="0"/>
        <v>Young</v>
      </c>
      <c r="E57" s="5" t="s">
        <v>16</v>
      </c>
      <c r="F57" s="5" t="s">
        <v>17</v>
      </c>
      <c r="G57" s="5" t="s">
        <v>18</v>
      </c>
      <c r="H57" s="5" t="s">
        <v>26</v>
      </c>
      <c r="I57" s="5">
        <v>6</v>
      </c>
      <c r="J57" s="12" t="str">
        <f t="shared" si="1"/>
        <v>Mid-level</v>
      </c>
      <c r="K57" s="5">
        <v>1056</v>
      </c>
      <c r="L57" s="5">
        <v>5056</v>
      </c>
      <c r="M57" s="5">
        <v>31005</v>
      </c>
      <c r="N57" s="5" t="s">
        <v>20</v>
      </c>
      <c r="O57" s="5">
        <v>47</v>
      </c>
      <c r="P57" s="5">
        <v>4</v>
      </c>
      <c r="Q57" s="15" t="str">
        <f t="shared" si="2"/>
        <v>Excellent</v>
      </c>
      <c r="R57" s="6" t="s">
        <v>21</v>
      </c>
    </row>
    <row r="58" spans="1:18" x14ac:dyDescent="0.3">
      <c r="A58" s="4">
        <v>57</v>
      </c>
      <c r="B58" s="5" t="s">
        <v>92</v>
      </c>
      <c r="C58" s="5">
        <v>48</v>
      </c>
      <c r="D58" s="12" t="str">
        <f t="shared" si="0"/>
        <v>Elder</v>
      </c>
      <c r="E58" s="5" t="s">
        <v>16</v>
      </c>
      <c r="F58" s="5" t="s">
        <v>17</v>
      </c>
      <c r="G58" s="5" t="s">
        <v>25</v>
      </c>
      <c r="H58" s="5" t="s">
        <v>19</v>
      </c>
      <c r="I58" s="5">
        <v>11</v>
      </c>
      <c r="J58" s="12" t="str">
        <f t="shared" si="1"/>
        <v>Senior</v>
      </c>
      <c r="K58" s="5">
        <v>1057</v>
      </c>
      <c r="L58" s="5">
        <v>5057</v>
      </c>
      <c r="M58" s="5">
        <v>85697</v>
      </c>
      <c r="N58" s="5" t="s">
        <v>38</v>
      </c>
      <c r="O58" s="5">
        <v>4</v>
      </c>
      <c r="P58" s="5">
        <v>1</v>
      </c>
      <c r="Q58" s="15" t="str">
        <f t="shared" si="2"/>
        <v>Poor</v>
      </c>
      <c r="R58" s="6" t="s">
        <v>21</v>
      </c>
    </row>
    <row r="59" spans="1:18" x14ac:dyDescent="0.3">
      <c r="A59" s="4">
        <v>58</v>
      </c>
      <c r="B59" s="5" t="s">
        <v>93</v>
      </c>
      <c r="C59" s="5">
        <v>37</v>
      </c>
      <c r="D59" s="12" t="str">
        <f t="shared" si="0"/>
        <v>Mid Age</v>
      </c>
      <c r="E59" s="5" t="s">
        <v>16</v>
      </c>
      <c r="F59" s="5" t="s">
        <v>17</v>
      </c>
      <c r="G59" s="5" t="s">
        <v>33</v>
      </c>
      <c r="H59" s="5" t="s">
        <v>26</v>
      </c>
      <c r="I59" s="5">
        <v>9</v>
      </c>
      <c r="J59" s="12" t="str">
        <f t="shared" si="1"/>
        <v>Mid-level</v>
      </c>
      <c r="K59" s="5">
        <v>1058</v>
      </c>
      <c r="L59" s="5">
        <v>5058</v>
      </c>
      <c r="M59" s="5">
        <v>36029</v>
      </c>
      <c r="N59" s="5" t="s">
        <v>30</v>
      </c>
      <c r="O59" s="5">
        <v>7</v>
      </c>
      <c r="P59" s="5">
        <v>2</v>
      </c>
      <c r="Q59" s="15" t="str">
        <f t="shared" si="2"/>
        <v>Average</v>
      </c>
      <c r="R59" s="6" t="s">
        <v>21</v>
      </c>
    </row>
    <row r="60" spans="1:18" x14ac:dyDescent="0.3">
      <c r="A60" s="4">
        <v>59</v>
      </c>
      <c r="B60" s="5" t="s">
        <v>94</v>
      </c>
      <c r="C60" s="5">
        <v>45</v>
      </c>
      <c r="D60" s="12" t="str">
        <f t="shared" si="0"/>
        <v>Elder</v>
      </c>
      <c r="E60" s="5" t="s">
        <v>23</v>
      </c>
      <c r="F60" s="5" t="s">
        <v>45</v>
      </c>
      <c r="G60" s="5" t="s">
        <v>33</v>
      </c>
      <c r="H60" s="5" t="s">
        <v>29</v>
      </c>
      <c r="I60" s="5">
        <v>6</v>
      </c>
      <c r="J60" s="12" t="str">
        <f t="shared" si="1"/>
        <v>Mid-level</v>
      </c>
      <c r="K60" s="5">
        <v>1059</v>
      </c>
      <c r="L60" s="5">
        <v>5059</v>
      </c>
      <c r="M60" s="5">
        <v>34226</v>
      </c>
      <c r="N60" s="5" t="s">
        <v>38</v>
      </c>
      <c r="O60" s="5">
        <v>35</v>
      </c>
      <c r="P60" s="5">
        <v>4</v>
      </c>
      <c r="Q60" s="15" t="str">
        <f t="shared" si="2"/>
        <v>Excellent</v>
      </c>
      <c r="R60" s="6" t="s">
        <v>40</v>
      </c>
    </row>
    <row r="61" spans="1:18" x14ac:dyDescent="0.3">
      <c r="A61" s="4">
        <v>60</v>
      </c>
      <c r="B61" s="5" t="s">
        <v>95</v>
      </c>
      <c r="C61" s="5">
        <v>53</v>
      </c>
      <c r="D61" s="12" t="str">
        <f t="shared" si="0"/>
        <v>Senior</v>
      </c>
      <c r="E61" s="5" t="s">
        <v>16</v>
      </c>
      <c r="F61" s="5" t="s">
        <v>43</v>
      </c>
      <c r="G61" s="5" t="s">
        <v>25</v>
      </c>
      <c r="H61" s="5" t="s">
        <v>19</v>
      </c>
      <c r="I61" s="5">
        <v>12</v>
      </c>
      <c r="J61" s="12" t="str">
        <f t="shared" si="1"/>
        <v>Senior</v>
      </c>
      <c r="K61" s="5">
        <v>1060</v>
      </c>
      <c r="L61" s="5">
        <v>5060</v>
      </c>
      <c r="M61" s="5">
        <v>83646</v>
      </c>
      <c r="N61" s="5" t="s">
        <v>27</v>
      </c>
      <c r="O61" s="5">
        <v>48</v>
      </c>
      <c r="P61" s="5">
        <v>2</v>
      </c>
      <c r="Q61" s="15" t="str">
        <f t="shared" si="2"/>
        <v>Average</v>
      </c>
      <c r="R61" s="6" t="s">
        <v>21</v>
      </c>
    </row>
    <row r="62" spans="1:18" x14ac:dyDescent="0.3">
      <c r="A62" s="4">
        <v>61</v>
      </c>
      <c r="B62" s="5" t="s">
        <v>96</v>
      </c>
      <c r="C62" s="5">
        <v>29</v>
      </c>
      <c r="D62" s="12" t="str">
        <f t="shared" si="0"/>
        <v>Young</v>
      </c>
      <c r="E62" s="5" t="s">
        <v>23</v>
      </c>
      <c r="F62" s="5" t="s">
        <v>45</v>
      </c>
      <c r="G62" s="5" t="s">
        <v>25</v>
      </c>
      <c r="H62" s="5" t="s">
        <v>19</v>
      </c>
      <c r="I62" s="5">
        <v>6</v>
      </c>
      <c r="J62" s="12" t="str">
        <f t="shared" si="1"/>
        <v>Mid-level</v>
      </c>
      <c r="K62" s="5">
        <v>1061</v>
      </c>
      <c r="L62" s="5">
        <v>5061</v>
      </c>
      <c r="M62" s="5">
        <v>80603</v>
      </c>
      <c r="N62" s="5" t="s">
        <v>27</v>
      </c>
      <c r="O62" s="5">
        <v>73</v>
      </c>
      <c r="P62" s="5">
        <v>4</v>
      </c>
      <c r="Q62" s="15" t="str">
        <f t="shared" si="2"/>
        <v>Excellent</v>
      </c>
      <c r="R62" s="6" t="s">
        <v>31</v>
      </c>
    </row>
    <row r="63" spans="1:18" x14ac:dyDescent="0.3">
      <c r="A63" s="4">
        <v>62</v>
      </c>
      <c r="B63" s="5" t="s">
        <v>97</v>
      </c>
      <c r="C63" s="5">
        <v>55</v>
      </c>
      <c r="D63" s="12" t="str">
        <f t="shared" si="0"/>
        <v>Senior</v>
      </c>
      <c r="E63" s="5" t="s">
        <v>23</v>
      </c>
      <c r="F63" s="5" t="s">
        <v>24</v>
      </c>
      <c r="G63" s="5" t="s">
        <v>25</v>
      </c>
      <c r="H63" s="5" t="s">
        <v>19</v>
      </c>
      <c r="I63" s="5">
        <v>16</v>
      </c>
      <c r="J63" s="12" t="str">
        <f t="shared" si="1"/>
        <v>Expert</v>
      </c>
      <c r="K63" s="5">
        <v>1062</v>
      </c>
      <c r="L63" s="5">
        <v>5062</v>
      </c>
      <c r="M63" s="5">
        <v>48731</v>
      </c>
      <c r="N63" s="5" t="s">
        <v>38</v>
      </c>
      <c r="O63" s="5">
        <v>72</v>
      </c>
      <c r="P63" s="5">
        <v>4</v>
      </c>
      <c r="Q63" s="15" t="str">
        <f t="shared" si="2"/>
        <v>Excellent</v>
      </c>
      <c r="R63" s="6" t="s">
        <v>36</v>
      </c>
    </row>
    <row r="64" spans="1:18" x14ac:dyDescent="0.3">
      <c r="A64" s="4">
        <v>63</v>
      </c>
      <c r="B64" s="5" t="s">
        <v>98</v>
      </c>
      <c r="C64" s="5">
        <v>33</v>
      </c>
      <c r="D64" s="12" t="str">
        <f t="shared" si="0"/>
        <v>Mid Age</v>
      </c>
      <c r="E64" s="5" t="s">
        <v>16</v>
      </c>
      <c r="F64" s="5" t="s">
        <v>45</v>
      </c>
      <c r="G64" s="5" t="s">
        <v>33</v>
      </c>
      <c r="H64" s="5" t="s">
        <v>19</v>
      </c>
      <c r="I64" s="5">
        <v>9</v>
      </c>
      <c r="J64" s="12" t="str">
        <f t="shared" si="1"/>
        <v>Mid-level</v>
      </c>
      <c r="K64" s="5">
        <v>1063</v>
      </c>
      <c r="L64" s="5">
        <v>5063</v>
      </c>
      <c r="M64" s="5">
        <v>88926</v>
      </c>
      <c r="N64" s="5" t="s">
        <v>30</v>
      </c>
      <c r="O64" s="5">
        <v>45</v>
      </c>
      <c r="P64" s="5">
        <v>3</v>
      </c>
      <c r="Q64" s="15" t="str">
        <f t="shared" si="2"/>
        <v>Good</v>
      </c>
      <c r="R64" s="6" t="s">
        <v>21</v>
      </c>
    </row>
    <row r="65" spans="1:18" x14ac:dyDescent="0.3">
      <c r="A65" s="4">
        <v>64</v>
      </c>
      <c r="B65" s="5" t="s">
        <v>99</v>
      </c>
      <c r="C65" s="5">
        <v>50</v>
      </c>
      <c r="D65" s="12" t="str">
        <f t="shared" si="0"/>
        <v>Elder</v>
      </c>
      <c r="E65" s="5" t="s">
        <v>16</v>
      </c>
      <c r="F65" s="5" t="s">
        <v>24</v>
      </c>
      <c r="G65" s="5" t="s">
        <v>33</v>
      </c>
      <c r="H65" s="5" t="s">
        <v>29</v>
      </c>
      <c r="I65" s="5">
        <v>9</v>
      </c>
      <c r="J65" s="12" t="str">
        <f t="shared" si="1"/>
        <v>Mid-level</v>
      </c>
      <c r="K65" s="5">
        <v>1064</v>
      </c>
      <c r="L65" s="5">
        <v>5064</v>
      </c>
      <c r="M65" s="5">
        <v>25997</v>
      </c>
      <c r="N65" s="5" t="s">
        <v>30</v>
      </c>
      <c r="O65" s="5">
        <v>81</v>
      </c>
      <c r="P65" s="5">
        <v>2</v>
      </c>
      <c r="Q65" s="15" t="str">
        <f t="shared" si="2"/>
        <v>Average</v>
      </c>
      <c r="R65" s="6" t="s">
        <v>40</v>
      </c>
    </row>
    <row r="66" spans="1:18" x14ac:dyDescent="0.3">
      <c r="A66" s="4">
        <v>65</v>
      </c>
      <c r="B66" s="5" t="s">
        <v>100</v>
      </c>
      <c r="C66" s="5">
        <v>34</v>
      </c>
      <c r="D66" s="12" t="str">
        <f t="shared" ref="D66:D129" si="3">IF(AND(C66&gt;=20,C66&lt;=30),"Young",IF(AND(C66&gt;30,C66&lt;=40),"Mid Age",IF(AND(C66&gt;40,C66&lt;=50),"Elder",IF(AND(C66&gt;50,C66&lt;=59),"Senior","Other"))))</f>
        <v>Mid Age</v>
      </c>
      <c r="E66" s="5" t="s">
        <v>23</v>
      </c>
      <c r="F66" s="5" t="s">
        <v>45</v>
      </c>
      <c r="G66" s="5" t="s">
        <v>18</v>
      </c>
      <c r="H66" s="5" t="s">
        <v>19</v>
      </c>
      <c r="I66" s="5">
        <v>3</v>
      </c>
      <c r="J66" s="12" t="str">
        <f t="shared" ref="J66:J129" si="4">IF(I66&lt;=2,"Beginner",IF(I66&lt;=5,"Junior",IF(I66&lt;=10,"Mid-level",IF(I66&lt;=15,"Senior","Expert"))))</f>
        <v>Junior</v>
      </c>
      <c r="K66" s="5">
        <v>1065</v>
      </c>
      <c r="L66" s="5">
        <v>5065</v>
      </c>
      <c r="M66" s="5">
        <v>75506</v>
      </c>
      <c r="N66" s="5" t="s">
        <v>20</v>
      </c>
      <c r="O66" s="5">
        <v>81</v>
      </c>
      <c r="P66" s="5">
        <v>1</v>
      </c>
      <c r="Q66" s="15" t="str">
        <f t="shared" ref="Q66:Q129" si="5">IF(P66=1,"Poor",IF(P66=2,"Average",IF(P66=3,"Good",IF(P66=4,"Excellent","Unknown"))))</f>
        <v>Poor</v>
      </c>
      <c r="R66" s="6" t="s">
        <v>31</v>
      </c>
    </row>
    <row r="67" spans="1:18" x14ac:dyDescent="0.3">
      <c r="A67" s="4">
        <v>66</v>
      </c>
      <c r="B67" s="5" t="s">
        <v>101</v>
      </c>
      <c r="C67" s="5">
        <v>27</v>
      </c>
      <c r="D67" s="12" t="str">
        <f t="shared" si="3"/>
        <v>Young</v>
      </c>
      <c r="E67" s="5" t="s">
        <v>23</v>
      </c>
      <c r="F67" s="5" t="s">
        <v>43</v>
      </c>
      <c r="G67" s="5" t="s">
        <v>46</v>
      </c>
      <c r="H67" s="5" t="s">
        <v>29</v>
      </c>
      <c r="I67" s="5">
        <v>19</v>
      </c>
      <c r="J67" s="12" t="str">
        <f t="shared" si="4"/>
        <v>Expert</v>
      </c>
      <c r="K67" s="5">
        <v>1066</v>
      </c>
      <c r="L67" s="5">
        <v>5066</v>
      </c>
      <c r="M67" s="5">
        <v>98229</v>
      </c>
      <c r="N67" s="5" t="s">
        <v>27</v>
      </c>
      <c r="O67" s="5">
        <v>97</v>
      </c>
      <c r="P67" s="5">
        <v>3</v>
      </c>
      <c r="Q67" s="15" t="str">
        <f t="shared" si="5"/>
        <v>Good</v>
      </c>
      <c r="R67" s="6" t="s">
        <v>36</v>
      </c>
    </row>
    <row r="68" spans="1:18" x14ac:dyDescent="0.3">
      <c r="A68" s="4">
        <v>67</v>
      </c>
      <c r="B68" s="5" t="s">
        <v>102</v>
      </c>
      <c r="C68" s="5">
        <v>33</v>
      </c>
      <c r="D68" s="12" t="str">
        <f t="shared" si="3"/>
        <v>Mid Age</v>
      </c>
      <c r="E68" s="5" t="s">
        <v>16</v>
      </c>
      <c r="F68" s="5" t="s">
        <v>24</v>
      </c>
      <c r="G68" s="5" t="s">
        <v>25</v>
      </c>
      <c r="H68" s="5" t="s">
        <v>29</v>
      </c>
      <c r="I68" s="5">
        <v>3</v>
      </c>
      <c r="J68" s="12" t="str">
        <f t="shared" si="4"/>
        <v>Junior</v>
      </c>
      <c r="K68" s="5">
        <v>1067</v>
      </c>
      <c r="L68" s="5">
        <v>5067</v>
      </c>
      <c r="M68" s="5">
        <v>69815</v>
      </c>
      <c r="N68" s="5" t="s">
        <v>20</v>
      </c>
      <c r="O68" s="5">
        <v>96</v>
      </c>
      <c r="P68" s="5">
        <v>3</v>
      </c>
      <c r="Q68" s="15" t="str">
        <f t="shared" si="5"/>
        <v>Good</v>
      </c>
      <c r="R68" s="6" t="s">
        <v>36</v>
      </c>
    </row>
    <row r="69" spans="1:18" x14ac:dyDescent="0.3">
      <c r="A69" s="4">
        <v>68</v>
      </c>
      <c r="B69" s="5" t="s">
        <v>103</v>
      </c>
      <c r="C69" s="5">
        <v>42</v>
      </c>
      <c r="D69" s="12" t="str">
        <f t="shared" si="3"/>
        <v>Elder</v>
      </c>
      <c r="E69" s="5" t="s">
        <v>16</v>
      </c>
      <c r="F69" s="5" t="s">
        <v>17</v>
      </c>
      <c r="G69" s="5" t="s">
        <v>33</v>
      </c>
      <c r="H69" s="5" t="s">
        <v>29</v>
      </c>
      <c r="I69" s="5">
        <v>6</v>
      </c>
      <c r="J69" s="12" t="str">
        <f t="shared" si="4"/>
        <v>Mid-level</v>
      </c>
      <c r="K69" s="5">
        <v>1068</v>
      </c>
      <c r="L69" s="5">
        <v>5068</v>
      </c>
      <c r="M69" s="5">
        <v>62092</v>
      </c>
      <c r="N69" s="5" t="s">
        <v>20</v>
      </c>
      <c r="O69" s="5">
        <v>72</v>
      </c>
      <c r="P69" s="5">
        <v>1</v>
      </c>
      <c r="Q69" s="15" t="str">
        <f t="shared" si="5"/>
        <v>Poor</v>
      </c>
      <c r="R69" s="6" t="s">
        <v>21</v>
      </c>
    </row>
    <row r="70" spans="1:18" x14ac:dyDescent="0.3">
      <c r="A70" s="4">
        <v>69</v>
      </c>
      <c r="B70" s="5" t="s">
        <v>104</v>
      </c>
      <c r="C70" s="5">
        <v>59</v>
      </c>
      <c r="D70" s="12" t="str">
        <f t="shared" si="3"/>
        <v>Senior</v>
      </c>
      <c r="E70" s="5" t="s">
        <v>16</v>
      </c>
      <c r="F70" s="5" t="s">
        <v>17</v>
      </c>
      <c r="G70" s="5" t="s">
        <v>33</v>
      </c>
      <c r="H70" s="5" t="s">
        <v>29</v>
      </c>
      <c r="I70" s="5">
        <v>0</v>
      </c>
      <c r="J70" s="12" t="str">
        <f t="shared" si="4"/>
        <v>Beginner</v>
      </c>
      <c r="K70" s="5">
        <v>1069</v>
      </c>
      <c r="L70" s="5">
        <v>5069</v>
      </c>
      <c r="M70" s="5">
        <v>82539</v>
      </c>
      <c r="N70" s="5" t="s">
        <v>38</v>
      </c>
      <c r="O70" s="5">
        <v>19</v>
      </c>
      <c r="P70" s="5">
        <v>3</v>
      </c>
      <c r="Q70" s="15" t="str">
        <f t="shared" si="5"/>
        <v>Good</v>
      </c>
      <c r="R70" s="6" t="s">
        <v>36</v>
      </c>
    </row>
    <row r="71" spans="1:18" x14ac:dyDescent="0.3">
      <c r="A71" s="4">
        <v>70</v>
      </c>
      <c r="B71" s="5" t="s">
        <v>105</v>
      </c>
      <c r="C71" s="5">
        <v>40</v>
      </c>
      <c r="D71" s="12" t="str">
        <f t="shared" si="3"/>
        <v>Mid Age</v>
      </c>
      <c r="E71" s="5" t="s">
        <v>16</v>
      </c>
      <c r="F71" s="5" t="s">
        <v>45</v>
      </c>
      <c r="G71" s="5" t="s">
        <v>25</v>
      </c>
      <c r="H71" s="5" t="s">
        <v>26</v>
      </c>
      <c r="I71" s="5">
        <v>11</v>
      </c>
      <c r="J71" s="12" t="str">
        <f t="shared" si="4"/>
        <v>Senior</v>
      </c>
      <c r="K71" s="5">
        <v>1070</v>
      </c>
      <c r="L71" s="5">
        <v>5070</v>
      </c>
      <c r="M71" s="5">
        <v>86077</v>
      </c>
      <c r="N71" s="5" t="s">
        <v>38</v>
      </c>
      <c r="O71" s="5">
        <v>63</v>
      </c>
      <c r="P71" s="5">
        <v>4</v>
      </c>
      <c r="Q71" s="15" t="str">
        <f t="shared" si="5"/>
        <v>Excellent</v>
      </c>
      <c r="R71" s="6" t="s">
        <v>21</v>
      </c>
    </row>
    <row r="72" spans="1:18" x14ac:dyDescent="0.3">
      <c r="A72" s="4">
        <v>71</v>
      </c>
      <c r="B72" s="5" t="s">
        <v>106</v>
      </c>
      <c r="C72" s="5">
        <v>35</v>
      </c>
      <c r="D72" s="12" t="str">
        <f t="shared" si="3"/>
        <v>Mid Age</v>
      </c>
      <c r="E72" s="5" t="s">
        <v>16</v>
      </c>
      <c r="F72" s="5" t="s">
        <v>17</v>
      </c>
      <c r="G72" s="5" t="s">
        <v>46</v>
      </c>
      <c r="H72" s="5" t="s">
        <v>26</v>
      </c>
      <c r="I72" s="5">
        <v>12</v>
      </c>
      <c r="J72" s="12" t="str">
        <f t="shared" si="4"/>
        <v>Senior</v>
      </c>
      <c r="K72" s="5">
        <v>1071</v>
      </c>
      <c r="L72" s="5">
        <v>5071</v>
      </c>
      <c r="M72" s="5">
        <v>41817</v>
      </c>
      <c r="N72" s="5" t="s">
        <v>20</v>
      </c>
      <c r="O72" s="5">
        <v>38</v>
      </c>
      <c r="P72" s="5">
        <v>4</v>
      </c>
      <c r="Q72" s="15" t="str">
        <f t="shared" si="5"/>
        <v>Excellent</v>
      </c>
      <c r="R72" s="6" t="s">
        <v>21</v>
      </c>
    </row>
    <row r="73" spans="1:18" x14ac:dyDescent="0.3">
      <c r="A73" s="4">
        <v>72</v>
      </c>
      <c r="B73" s="5" t="s">
        <v>107</v>
      </c>
      <c r="C73" s="5">
        <v>37</v>
      </c>
      <c r="D73" s="12" t="str">
        <f t="shared" si="3"/>
        <v>Mid Age</v>
      </c>
      <c r="E73" s="5" t="s">
        <v>23</v>
      </c>
      <c r="F73" s="5" t="s">
        <v>24</v>
      </c>
      <c r="G73" s="5" t="s">
        <v>25</v>
      </c>
      <c r="H73" s="5" t="s">
        <v>19</v>
      </c>
      <c r="I73" s="5">
        <v>9</v>
      </c>
      <c r="J73" s="12" t="str">
        <f t="shared" si="4"/>
        <v>Mid-level</v>
      </c>
      <c r="K73" s="5">
        <v>1072</v>
      </c>
      <c r="L73" s="5">
        <v>5072</v>
      </c>
      <c r="M73" s="5">
        <v>57861</v>
      </c>
      <c r="N73" s="5" t="s">
        <v>27</v>
      </c>
      <c r="O73" s="5">
        <v>67</v>
      </c>
      <c r="P73" s="5">
        <v>2</v>
      </c>
      <c r="Q73" s="15" t="str">
        <f t="shared" si="5"/>
        <v>Average</v>
      </c>
      <c r="R73" s="6" t="s">
        <v>31</v>
      </c>
    </row>
    <row r="74" spans="1:18" x14ac:dyDescent="0.3">
      <c r="A74" s="4">
        <v>73</v>
      </c>
      <c r="B74" s="5" t="s">
        <v>108</v>
      </c>
      <c r="C74" s="5">
        <v>43</v>
      </c>
      <c r="D74" s="12" t="str">
        <f t="shared" si="3"/>
        <v>Elder</v>
      </c>
      <c r="E74" s="5" t="s">
        <v>23</v>
      </c>
      <c r="F74" s="5" t="s">
        <v>17</v>
      </c>
      <c r="G74" s="5" t="s">
        <v>46</v>
      </c>
      <c r="H74" s="5" t="s">
        <v>26</v>
      </c>
      <c r="I74" s="5">
        <v>14</v>
      </c>
      <c r="J74" s="12" t="str">
        <f t="shared" si="4"/>
        <v>Senior</v>
      </c>
      <c r="K74" s="5">
        <v>1073</v>
      </c>
      <c r="L74" s="5">
        <v>5073</v>
      </c>
      <c r="M74" s="5">
        <v>33428</v>
      </c>
      <c r="N74" s="5" t="s">
        <v>38</v>
      </c>
      <c r="O74" s="5">
        <v>59</v>
      </c>
      <c r="P74" s="5">
        <v>2</v>
      </c>
      <c r="Q74" s="15" t="str">
        <f t="shared" si="5"/>
        <v>Average</v>
      </c>
      <c r="R74" s="6" t="s">
        <v>31</v>
      </c>
    </row>
    <row r="75" spans="1:18" x14ac:dyDescent="0.3">
      <c r="A75" s="4">
        <v>74</v>
      </c>
      <c r="B75" s="5" t="s">
        <v>109</v>
      </c>
      <c r="C75" s="5">
        <v>45</v>
      </c>
      <c r="D75" s="12" t="str">
        <f t="shared" si="3"/>
        <v>Elder</v>
      </c>
      <c r="E75" s="5" t="s">
        <v>23</v>
      </c>
      <c r="F75" s="5" t="s">
        <v>43</v>
      </c>
      <c r="G75" s="5" t="s">
        <v>33</v>
      </c>
      <c r="H75" s="5" t="s">
        <v>26</v>
      </c>
      <c r="I75" s="5">
        <v>12</v>
      </c>
      <c r="J75" s="12" t="str">
        <f t="shared" si="4"/>
        <v>Senior</v>
      </c>
      <c r="K75" s="5">
        <v>1074</v>
      </c>
      <c r="L75" s="5">
        <v>5074</v>
      </c>
      <c r="M75" s="5">
        <v>63934</v>
      </c>
      <c r="N75" s="5" t="s">
        <v>20</v>
      </c>
      <c r="O75" s="5">
        <v>69</v>
      </c>
      <c r="P75" s="5">
        <v>1</v>
      </c>
      <c r="Q75" s="15" t="str">
        <f t="shared" si="5"/>
        <v>Poor</v>
      </c>
      <c r="R75" s="6" t="s">
        <v>40</v>
      </c>
    </row>
    <row r="76" spans="1:18" x14ac:dyDescent="0.3">
      <c r="A76" s="4">
        <v>75</v>
      </c>
      <c r="B76" s="5" t="s">
        <v>110</v>
      </c>
      <c r="C76" s="5">
        <v>44</v>
      </c>
      <c r="D76" s="12" t="str">
        <f t="shared" si="3"/>
        <v>Elder</v>
      </c>
      <c r="E76" s="5" t="s">
        <v>23</v>
      </c>
      <c r="F76" s="5" t="s">
        <v>43</v>
      </c>
      <c r="G76" s="5" t="s">
        <v>46</v>
      </c>
      <c r="H76" s="5" t="s">
        <v>19</v>
      </c>
      <c r="I76" s="5">
        <v>8</v>
      </c>
      <c r="J76" s="12" t="str">
        <f t="shared" si="4"/>
        <v>Mid-level</v>
      </c>
      <c r="K76" s="5">
        <v>1075</v>
      </c>
      <c r="L76" s="5">
        <v>5075</v>
      </c>
      <c r="M76" s="5">
        <v>30258</v>
      </c>
      <c r="N76" s="5" t="s">
        <v>20</v>
      </c>
      <c r="O76" s="5">
        <v>13</v>
      </c>
      <c r="P76" s="5">
        <v>2</v>
      </c>
      <c r="Q76" s="15" t="str">
        <f t="shared" si="5"/>
        <v>Average</v>
      </c>
      <c r="R76" s="6" t="s">
        <v>31</v>
      </c>
    </row>
    <row r="77" spans="1:18" x14ac:dyDescent="0.3">
      <c r="A77" s="4">
        <v>76</v>
      </c>
      <c r="B77" s="5" t="s">
        <v>111</v>
      </c>
      <c r="C77" s="5">
        <v>48</v>
      </c>
      <c r="D77" s="12" t="str">
        <f t="shared" si="3"/>
        <v>Elder</v>
      </c>
      <c r="E77" s="5" t="s">
        <v>16</v>
      </c>
      <c r="F77" s="5" t="s">
        <v>45</v>
      </c>
      <c r="G77" s="5" t="s">
        <v>18</v>
      </c>
      <c r="H77" s="5" t="s">
        <v>19</v>
      </c>
      <c r="I77" s="5">
        <v>8</v>
      </c>
      <c r="J77" s="12" t="str">
        <f t="shared" si="4"/>
        <v>Mid-level</v>
      </c>
      <c r="K77" s="5">
        <v>1076</v>
      </c>
      <c r="L77" s="5">
        <v>5076</v>
      </c>
      <c r="M77" s="5">
        <v>77775</v>
      </c>
      <c r="N77" s="5" t="s">
        <v>20</v>
      </c>
      <c r="O77" s="5">
        <v>47</v>
      </c>
      <c r="P77" s="5">
        <v>4</v>
      </c>
      <c r="Q77" s="15" t="str">
        <f t="shared" si="5"/>
        <v>Excellent</v>
      </c>
      <c r="R77" s="6" t="s">
        <v>31</v>
      </c>
    </row>
    <row r="78" spans="1:18" x14ac:dyDescent="0.3">
      <c r="A78" s="4">
        <v>77</v>
      </c>
      <c r="B78" s="5" t="s">
        <v>112</v>
      </c>
      <c r="C78" s="5">
        <v>34</v>
      </c>
      <c r="D78" s="12" t="str">
        <f t="shared" si="3"/>
        <v>Mid Age</v>
      </c>
      <c r="E78" s="5" t="s">
        <v>16</v>
      </c>
      <c r="F78" s="5" t="s">
        <v>24</v>
      </c>
      <c r="G78" s="5" t="s">
        <v>33</v>
      </c>
      <c r="H78" s="5" t="s">
        <v>19</v>
      </c>
      <c r="I78" s="5">
        <v>14</v>
      </c>
      <c r="J78" s="12" t="str">
        <f t="shared" si="4"/>
        <v>Senior</v>
      </c>
      <c r="K78" s="5">
        <v>1077</v>
      </c>
      <c r="L78" s="5">
        <v>5077</v>
      </c>
      <c r="M78" s="5">
        <v>101580</v>
      </c>
      <c r="N78" s="5" t="s">
        <v>20</v>
      </c>
      <c r="O78" s="5">
        <v>61</v>
      </c>
      <c r="P78" s="5">
        <v>1</v>
      </c>
      <c r="Q78" s="15" t="str">
        <f t="shared" si="5"/>
        <v>Poor</v>
      </c>
      <c r="R78" s="6" t="s">
        <v>21</v>
      </c>
    </row>
    <row r="79" spans="1:18" x14ac:dyDescent="0.3">
      <c r="A79" s="4">
        <v>78</v>
      </c>
      <c r="B79" s="5" t="s">
        <v>113</v>
      </c>
      <c r="C79" s="5">
        <v>20</v>
      </c>
      <c r="D79" s="12" t="str">
        <f t="shared" si="3"/>
        <v>Young</v>
      </c>
      <c r="E79" s="5" t="s">
        <v>16</v>
      </c>
      <c r="F79" s="5" t="s">
        <v>43</v>
      </c>
      <c r="G79" s="5" t="s">
        <v>18</v>
      </c>
      <c r="H79" s="5" t="s">
        <v>26</v>
      </c>
      <c r="I79" s="5">
        <v>9</v>
      </c>
      <c r="J79" s="12" t="str">
        <f t="shared" si="4"/>
        <v>Mid-level</v>
      </c>
      <c r="K79" s="5">
        <v>1078</v>
      </c>
      <c r="L79" s="5">
        <v>5078</v>
      </c>
      <c r="M79" s="5">
        <v>114947</v>
      </c>
      <c r="N79" s="5" t="s">
        <v>20</v>
      </c>
      <c r="O79" s="5">
        <v>31</v>
      </c>
      <c r="P79" s="5">
        <v>1</v>
      </c>
      <c r="Q79" s="15" t="str">
        <f t="shared" si="5"/>
        <v>Poor</v>
      </c>
      <c r="R79" s="6" t="s">
        <v>31</v>
      </c>
    </row>
    <row r="80" spans="1:18" x14ac:dyDescent="0.3">
      <c r="A80" s="4">
        <v>79</v>
      </c>
      <c r="B80" s="5" t="s">
        <v>114</v>
      </c>
      <c r="C80" s="5">
        <v>44</v>
      </c>
      <c r="D80" s="12" t="str">
        <f t="shared" si="3"/>
        <v>Elder</v>
      </c>
      <c r="E80" s="5" t="s">
        <v>23</v>
      </c>
      <c r="F80" s="5" t="s">
        <v>43</v>
      </c>
      <c r="G80" s="5" t="s">
        <v>25</v>
      </c>
      <c r="H80" s="5" t="s">
        <v>26</v>
      </c>
      <c r="I80" s="5">
        <v>9</v>
      </c>
      <c r="J80" s="12" t="str">
        <f t="shared" si="4"/>
        <v>Mid-level</v>
      </c>
      <c r="K80" s="5">
        <v>1079</v>
      </c>
      <c r="L80" s="5">
        <v>5079</v>
      </c>
      <c r="M80" s="5">
        <v>25469</v>
      </c>
      <c r="N80" s="5" t="s">
        <v>20</v>
      </c>
      <c r="O80" s="5">
        <v>80</v>
      </c>
      <c r="P80" s="5">
        <v>2</v>
      </c>
      <c r="Q80" s="15" t="str">
        <f t="shared" si="5"/>
        <v>Average</v>
      </c>
      <c r="R80" s="6" t="s">
        <v>21</v>
      </c>
    </row>
    <row r="81" spans="1:18" x14ac:dyDescent="0.3">
      <c r="A81" s="4">
        <v>80</v>
      </c>
      <c r="B81" s="5" t="s">
        <v>115</v>
      </c>
      <c r="C81" s="5">
        <v>26</v>
      </c>
      <c r="D81" s="12" t="str">
        <f t="shared" si="3"/>
        <v>Young</v>
      </c>
      <c r="E81" s="5" t="s">
        <v>23</v>
      </c>
      <c r="F81" s="5" t="s">
        <v>24</v>
      </c>
      <c r="G81" s="5" t="s">
        <v>25</v>
      </c>
      <c r="H81" s="5" t="s">
        <v>19</v>
      </c>
      <c r="I81" s="5">
        <v>7</v>
      </c>
      <c r="J81" s="12" t="str">
        <f t="shared" si="4"/>
        <v>Mid-level</v>
      </c>
      <c r="K81" s="5">
        <v>1080</v>
      </c>
      <c r="L81" s="5">
        <v>5080</v>
      </c>
      <c r="M81" s="5">
        <v>48854</v>
      </c>
      <c r="N81" s="5" t="s">
        <v>38</v>
      </c>
      <c r="O81" s="5">
        <v>96</v>
      </c>
      <c r="P81" s="5">
        <v>4</v>
      </c>
      <c r="Q81" s="15" t="str">
        <f t="shared" si="5"/>
        <v>Excellent</v>
      </c>
      <c r="R81" s="6" t="s">
        <v>21</v>
      </c>
    </row>
    <row r="82" spans="1:18" x14ac:dyDescent="0.3">
      <c r="A82" s="4">
        <v>81</v>
      </c>
      <c r="B82" s="5" t="s">
        <v>116</v>
      </c>
      <c r="C82" s="5">
        <v>28</v>
      </c>
      <c r="D82" s="12" t="str">
        <f t="shared" si="3"/>
        <v>Young</v>
      </c>
      <c r="E82" s="5" t="s">
        <v>16</v>
      </c>
      <c r="F82" s="5" t="s">
        <v>17</v>
      </c>
      <c r="G82" s="5" t="s">
        <v>25</v>
      </c>
      <c r="H82" s="5" t="s">
        <v>29</v>
      </c>
      <c r="I82" s="5">
        <v>15</v>
      </c>
      <c r="J82" s="12" t="str">
        <f t="shared" si="4"/>
        <v>Senior</v>
      </c>
      <c r="K82" s="5">
        <v>1081</v>
      </c>
      <c r="L82" s="5">
        <v>5081</v>
      </c>
      <c r="M82" s="5">
        <v>26256</v>
      </c>
      <c r="N82" s="5" t="s">
        <v>27</v>
      </c>
      <c r="O82" s="5">
        <v>22</v>
      </c>
      <c r="P82" s="5">
        <v>1</v>
      </c>
      <c r="Q82" s="15" t="str">
        <f t="shared" si="5"/>
        <v>Poor</v>
      </c>
      <c r="R82" s="6" t="s">
        <v>31</v>
      </c>
    </row>
    <row r="83" spans="1:18" x14ac:dyDescent="0.3">
      <c r="A83" s="4">
        <v>82</v>
      </c>
      <c r="B83" s="5" t="s">
        <v>117</v>
      </c>
      <c r="C83" s="5">
        <v>43</v>
      </c>
      <c r="D83" s="12" t="str">
        <f t="shared" si="3"/>
        <v>Elder</v>
      </c>
      <c r="E83" s="5" t="s">
        <v>16</v>
      </c>
      <c r="F83" s="5" t="s">
        <v>17</v>
      </c>
      <c r="G83" s="5" t="s">
        <v>46</v>
      </c>
      <c r="H83" s="5" t="s">
        <v>19</v>
      </c>
      <c r="I83" s="5">
        <v>16</v>
      </c>
      <c r="J83" s="12" t="str">
        <f t="shared" si="4"/>
        <v>Expert</v>
      </c>
      <c r="K83" s="5">
        <v>1082</v>
      </c>
      <c r="L83" s="5">
        <v>5082</v>
      </c>
      <c r="M83" s="5">
        <v>96256</v>
      </c>
      <c r="N83" s="5" t="s">
        <v>20</v>
      </c>
      <c r="O83" s="5">
        <v>93</v>
      </c>
      <c r="P83" s="5">
        <v>4</v>
      </c>
      <c r="Q83" s="15" t="str">
        <f t="shared" si="5"/>
        <v>Excellent</v>
      </c>
      <c r="R83" s="6" t="s">
        <v>40</v>
      </c>
    </row>
    <row r="84" spans="1:18" x14ac:dyDescent="0.3">
      <c r="A84" s="4">
        <v>83</v>
      </c>
      <c r="B84" s="5" t="s">
        <v>118</v>
      </c>
      <c r="C84" s="5">
        <v>20</v>
      </c>
      <c r="D84" s="12" t="str">
        <f t="shared" si="3"/>
        <v>Young</v>
      </c>
      <c r="E84" s="5" t="s">
        <v>23</v>
      </c>
      <c r="F84" s="5" t="s">
        <v>45</v>
      </c>
      <c r="G84" s="5" t="s">
        <v>33</v>
      </c>
      <c r="H84" s="5" t="s">
        <v>29</v>
      </c>
      <c r="I84" s="5">
        <v>4</v>
      </c>
      <c r="J84" s="12" t="str">
        <f t="shared" si="4"/>
        <v>Junior</v>
      </c>
      <c r="K84" s="5">
        <v>1083</v>
      </c>
      <c r="L84" s="5">
        <v>5083</v>
      </c>
      <c r="M84" s="5">
        <v>53937</v>
      </c>
      <c r="N84" s="5" t="s">
        <v>30</v>
      </c>
      <c r="O84" s="5">
        <v>86</v>
      </c>
      <c r="P84" s="5">
        <v>4</v>
      </c>
      <c r="Q84" s="15" t="str">
        <f t="shared" si="5"/>
        <v>Excellent</v>
      </c>
      <c r="R84" s="6" t="s">
        <v>40</v>
      </c>
    </row>
    <row r="85" spans="1:18" x14ac:dyDescent="0.3">
      <c r="A85" s="4">
        <v>84</v>
      </c>
      <c r="B85" s="5" t="s">
        <v>119</v>
      </c>
      <c r="C85" s="5">
        <v>27</v>
      </c>
      <c r="D85" s="12" t="str">
        <f t="shared" si="3"/>
        <v>Young</v>
      </c>
      <c r="E85" s="5" t="s">
        <v>23</v>
      </c>
      <c r="F85" s="5" t="s">
        <v>17</v>
      </c>
      <c r="G85" s="5" t="s">
        <v>25</v>
      </c>
      <c r="H85" s="5" t="s">
        <v>29</v>
      </c>
      <c r="I85" s="5">
        <v>3</v>
      </c>
      <c r="J85" s="12" t="str">
        <f t="shared" si="4"/>
        <v>Junior</v>
      </c>
      <c r="K85" s="5">
        <v>1084</v>
      </c>
      <c r="L85" s="5">
        <v>5084</v>
      </c>
      <c r="M85" s="5">
        <v>119134</v>
      </c>
      <c r="N85" s="5" t="s">
        <v>38</v>
      </c>
      <c r="O85" s="5">
        <v>43</v>
      </c>
      <c r="P85" s="5">
        <v>4</v>
      </c>
      <c r="Q85" s="15" t="str">
        <f t="shared" si="5"/>
        <v>Excellent</v>
      </c>
      <c r="R85" s="6" t="s">
        <v>36</v>
      </c>
    </row>
    <row r="86" spans="1:18" x14ac:dyDescent="0.3">
      <c r="A86" s="4">
        <v>85</v>
      </c>
      <c r="B86" s="5" t="s">
        <v>120</v>
      </c>
      <c r="C86" s="5">
        <v>43</v>
      </c>
      <c r="D86" s="12" t="str">
        <f t="shared" si="3"/>
        <v>Elder</v>
      </c>
      <c r="E86" s="5" t="s">
        <v>16</v>
      </c>
      <c r="F86" s="5" t="s">
        <v>24</v>
      </c>
      <c r="G86" s="5" t="s">
        <v>25</v>
      </c>
      <c r="H86" s="5" t="s">
        <v>19</v>
      </c>
      <c r="I86" s="5">
        <v>17</v>
      </c>
      <c r="J86" s="12" t="str">
        <f t="shared" si="4"/>
        <v>Expert</v>
      </c>
      <c r="K86" s="5">
        <v>1085</v>
      </c>
      <c r="L86" s="5">
        <v>5085</v>
      </c>
      <c r="M86" s="5">
        <v>21651</v>
      </c>
      <c r="N86" s="5" t="s">
        <v>38</v>
      </c>
      <c r="O86" s="5">
        <v>67</v>
      </c>
      <c r="P86" s="5">
        <v>2</v>
      </c>
      <c r="Q86" s="15" t="str">
        <f t="shared" si="5"/>
        <v>Average</v>
      </c>
      <c r="R86" s="6" t="s">
        <v>36</v>
      </c>
    </row>
    <row r="87" spans="1:18" x14ac:dyDescent="0.3">
      <c r="A87" s="4">
        <v>86</v>
      </c>
      <c r="B87" s="5" t="s">
        <v>121</v>
      </c>
      <c r="C87" s="5">
        <v>30</v>
      </c>
      <c r="D87" s="12" t="str">
        <f t="shared" si="3"/>
        <v>Young</v>
      </c>
      <c r="E87" s="5" t="s">
        <v>16</v>
      </c>
      <c r="F87" s="5" t="s">
        <v>43</v>
      </c>
      <c r="G87" s="5" t="s">
        <v>33</v>
      </c>
      <c r="H87" s="5" t="s">
        <v>19</v>
      </c>
      <c r="I87" s="5">
        <v>18</v>
      </c>
      <c r="J87" s="12" t="str">
        <f t="shared" si="4"/>
        <v>Expert</v>
      </c>
      <c r="K87" s="5">
        <v>1086</v>
      </c>
      <c r="L87" s="5">
        <v>5086</v>
      </c>
      <c r="M87" s="5">
        <v>70288</v>
      </c>
      <c r="N87" s="5" t="s">
        <v>20</v>
      </c>
      <c r="O87" s="5">
        <v>54</v>
      </c>
      <c r="P87" s="5">
        <v>3</v>
      </c>
      <c r="Q87" s="15" t="str">
        <f t="shared" si="5"/>
        <v>Good</v>
      </c>
      <c r="R87" s="6" t="s">
        <v>31</v>
      </c>
    </row>
    <row r="88" spans="1:18" x14ac:dyDescent="0.3">
      <c r="A88" s="4">
        <v>87</v>
      </c>
      <c r="B88" s="5" t="s">
        <v>122</v>
      </c>
      <c r="C88" s="5">
        <v>36</v>
      </c>
      <c r="D88" s="12" t="str">
        <f t="shared" si="3"/>
        <v>Mid Age</v>
      </c>
      <c r="E88" s="5" t="s">
        <v>23</v>
      </c>
      <c r="F88" s="5" t="s">
        <v>17</v>
      </c>
      <c r="G88" s="5" t="s">
        <v>25</v>
      </c>
      <c r="H88" s="5" t="s">
        <v>19</v>
      </c>
      <c r="I88" s="5">
        <v>3</v>
      </c>
      <c r="J88" s="12" t="str">
        <f t="shared" si="4"/>
        <v>Junior</v>
      </c>
      <c r="K88" s="5">
        <v>1087</v>
      </c>
      <c r="L88" s="5">
        <v>5087</v>
      </c>
      <c r="M88" s="5">
        <v>104730</v>
      </c>
      <c r="N88" s="5" t="s">
        <v>38</v>
      </c>
      <c r="O88" s="5">
        <v>10</v>
      </c>
      <c r="P88" s="5">
        <v>3</v>
      </c>
      <c r="Q88" s="15" t="str">
        <f t="shared" si="5"/>
        <v>Good</v>
      </c>
      <c r="R88" s="6" t="s">
        <v>40</v>
      </c>
    </row>
    <row r="89" spans="1:18" x14ac:dyDescent="0.3">
      <c r="A89" s="4">
        <v>88</v>
      </c>
      <c r="B89" s="5" t="s">
        <v>123</v>
      </c>
      <c r="C89" s="5">
        <v>27</v>
      </c>
      <c r="D89" s="12" t="str">
        <f t="shared" si="3"/>
        <v>Young</v>
      </c>
      <c r="E89" s="5" t="s">
        <v>16</v>
      </c>
      <c r="F89" s="5" t="s">
        <v>45</v>
      </c>
      <c r="G89" s="5" t="s">
        <v>18</v>
      </c>
      <c r="H89" s="5" t="s">
        <v>26</v>
      </c>
      <c r="I89" s="5">
        <v>6</v>
      </c>
      <c r="J89" s="12" t="str">
        <f t="shared" si="4"/>
        <v>Mid-level</v>
      </c>
      <c r="K89" s="5">
        <v>1088</v>
      </c>
      <c r="L89" s="5">
        <v>5088</v>
      </c>
      <c r="M89" s="5">
        <v>45051</v>
      </c>
      <c r="N89" s="5" t="s">
        <v>20</v>
      </c>
      <c r="O89" s="5">
        <v>42</v>
      </c>
      <c r="P89" s="5">
        <v>1</v>
      </c>
      <c r="Q89" s="15" t="str">
        <f t="shared" si="5"/>
        <v>Poor</v>
      </c>
      <c r="R89" s="6" t="s">
        <v>21</v>
      </c>
    </row>
    <row r="90" spans="1:18" x14ac:dyDescent="0.3">
      <c r="A90" s="4">
        <v>89</v>
      </c>
      <c r="B90" s="5" t="s">
        <v>124</v>
      </c>
      <c r="C90" s="5">
        <v>54</v>
      </c>
      <c r="D90" s="12" t="str">
        <f t="shared" si="3"/>
        <v>Senior</v>
      </c>
      <c r="E90" s="5" t="s">
        <v>16</v>
      </c>
      <c r="F90" s="5" t="s">
        <v>17</v>
      </c>
      <c r="G90" s="5" t="s">
        <v>33</v>
      </c>
      <c r="H90" s="5" t="s">
        <v>29</v>
      </c>
      <c r="I90" s="5">
        <v>9</v>
      </c>
      <c r="J90" s="12" t="str">
        <f t="shared" si="4"/>
        <v>Mid-level</v>
      </c>
      <c r="K90" s="5">
        <v>1089</v>
      </c>
      <c r="L90" s="5">
        <v>5089</v>
      </c>
      <c r="M90" s="5">
        <v>47386</v>
      </c>
      <c r="N90" s="5" t="s">
        <v>27</v>
      </c>
      <c r="O90" s="5">
        <v>64</v>
      </c>
      <c r="P90" s="5">
        <v>4</v>
      </c>
      <c r="Q90" s="15" t="str">
        <f t="shared" si="5"/>
        <v>Excellent</v>
      </c>
      <c r="R90" s="6" t="s">
        <v>36</v>
      </c>
    </row>
    <row r="91" spans="1:18" x14ac:dyDescent="0.3">
      <c r="A91" s="4">
        <v>90</v>
      </c>
      <c r="B91" s="5" t="s">
        <v>125</v>
      </c>
      <c r="C91" s="5">
        <v>54</v>
      </c>
      <c r="D91" s="12" t="str">
        <f t="shared" si="3"/>
        <v>Senior</v>
      </c>
      <c r="E91" s="5" t="s">
        <v>16</v>
      </c>
      <c r="F91" s="5" t="s">
        <v>24</v>
      </c>
      <c r="G91" s="5" t="s">
        <v>33</v>
      </c>
      <c r="H91" s="5" t="s">
        <v>26</v>
      </c>
      <c r="I91" s="5">
        <v>17</v>
      </c>
      <c r="J91" s="12" t="str">
        <f t="shared" si="4"/>
        <v>Expert</v>
      </c>
      <c r="K91" s="5">
        <v>1090</v>
      </c>
      <c r="L91" s="5">
        <v>5090</v>
      </c>
      <c r="M91" s="5">
        <v>95054</v>
      </c>
      <c r="N91" s="5" t="s">
        <v>27</v>
      </c>
      <c r="O91" s="5">
        <v>21</v>
      </c>
      <c r="P91" s="5">
        <v>2</v>
      </c>
      <c r="Q91" s="15" t="str">
        <f t="shared" si="5"/>
        <v>Average</v>
      </c>
      <c r="R91" s="6" t="s">
        <v>21</v>
      </c>
    </row>
    <row r="92" spans="1:18" x14ac:dyDescent="0.3">
      <c r="A92" s="4">
        <v>91</v>
      </c>
      <c r="B92" s="5" t="s">
        <v>126</v>
      </c>
      <c r="C92" s="5">
        <v>52</v>
      </c>
      <c r="D92" s="12" t="str">
        <f t="shared" si="3"/>
        <v>Senior</v>
      </c>
      <c r="E92" s="5" t="s">
        <v>23</v>
      </c>
      <c r="F92" s="5" t="s">
        <v>45</v>
      </c>
      <c r="G92" s="5" t="s">
        <v>33</v>
      </c>
      <c r="H92" s="5" t="s">
        <v>26</v>
      </c>
      <c r="I92" s="5">
        <v>18</v>
      </c>
      <c r="J92" s="12" t="str">
        <f t="shared" si="4"/>
        <v>Expert</v>
      </c>
      <c r="K92" s="5">
        <v>1091</v>
      </c>
      <c r="L92" s="5">
        <v>5091</v>
      </c>
      <c r="M92" s="5">
        <v>36184</v>
      </c>
      <c r="N92" s="5" t="s">
        <v>38</v>
      </c>
      <c r="O92" s="5">
        <v>80</v>
      </c>
      <c r="P92" s="5">
        <v>4</v>
      </c>
      <c r="Q92" s="15" t="str">
        <f t="shared" si="5"/>
        <v>Excellent</v>
      </c>
      <c r="R92" s="6" t="s">
        <v>36</v>
      </c>
    </row>
    <row r="93" spans="1:18" x14ac:dyDescent="0.3">
      <c r="A93" s="4">
        <v>92</v>
      </c>
      <c r="B93" s="5" t="s">
        <v>127</v>
      </c>
      <c r="C93" s="5">
        <v>24</v>
      </c>
      <c r="D93" s="12" t="str">
        <f t="shared" si="3"/>
        <v>Young</v>
      </c>
      <c r="E93" s="5" t="s">
        <v>23</v>
      </c>
      <c r="F93" s="5" t="s">
        <v>17</v>
      </c>
      <c r="G93" s="5" t="s">
        <v>18</v>
      </c>
      <c r="H93" s="5" t="s">
        <v>19</v>
      </c>
      <c r="I93" s="5">
        <v>3</v>
      </c>
      <c r="J93" s="12" t="str">
        <f t="shared" si="4"/>
        <v>Junior</v>
      </c>
      <c r="K93" s="5">
        <v>1092</v>
      </c>
      <c r="L93" s="5">
        <v>5092</v>
      </c>
      <c r="M93" s="5">
        <v>53787</v>
      </c>
      <c r="N93" s="5" t="s">
        <v>38</v>
      </c>
      <c r="O93" s="5">
        <v>76</v>
      </c>
      <c r="P93" s="5">
        <v>4</v>
      </c>
      <c r="Q93" s="15" t="str">
        <f t="shared" si="5"/>
        <v>Excellent</v>
      </c>
      <c r="R93" s="6" t="s">
        <v>31</v>
      </c>
    </row>
    <row r="94" spans="1:18" x14ac:dyDescent="0.3">
      <c r="A94" s="4">
        <v>93</v>
      </c>
      <c r="B94" s="5" t="s">
        <v>128</v>
      </c>
      <c r="C94" s="5">
        <v>58</v>
      </c>
      <c r="D94" s="12" t="str">
        <f t="shared" si="3"/>
        <v>Senior</v>
      </c>
      <c r="E94" s="5" t="s">
        <v>23</v>
      </c>
      <c r="F94" s="5" t="s">
        <v>45</v>
      </c>
      <c r="G94" s="5" t="s">
        <v>33</v>
      </c>
      <c r="H94" s="5" t="s">
        <v>26</v>
      </c>
      <c r="I94" s="5">
        <v>9</v>
      </c>
      <c r="J94" s="12" t="str">
        <f t="shared" si="4"/>
        <v>Mid-level</v>
      </c>
      <c r="K94" s="5">
        <v>1093</v>
      </c>
      <c r="L94" s="5">
        <v>5093</v>
      </c>
      <c r="M94" s="5">
        <v>41621</v>
      </c>
      <c r="N94" s="5" t="s">
        <v>30</v>
      </c>
      <c r="O94" s="5">
        <v>66</v>
      </c>
      <c r="P94" s="5">
        <v>2</v>
      </c>
      <c r="Q94" s="15" t="str">
        <f t="shared" si="5"/>
        <v>Average</v>
      </c>
      <c r="R94" s="6" t="s">
        <v>40</v>
      </c>
    </row>
    <row r="95" spans="1:18" x14ac:dyDescent="0.3">
      <c r="A95" s="4">
        <v>94</v>
      </c>
      <c r="B95" s="5" t="s">
        <v>129</v>
      </c>
      <c r="C95" s="5">
        <v>47</v>
      </c>
      <c r="D95" s="12" t="str">
        <f t="shared" si="3"/>
        <v>Elder</v>
      </c>
      <c r="E95" s="5" t="s">
        <v>23</v>
      </c>
      <c r="F95" s="5" t="s">
        <v>24</v>
      </c>
      <c r="G95" s="5" t="s">
        <v>18</v>
      </c>
      <c r="H95" s="5" t="s">
        <v>19</v>
      </c>
      <c r="I95" s="5">
        <v>0</v>
      </c>
      <c r="J95" s="12" t="str">
        <f t="shared" si="4"/>
        <v>Beginner</v>
      </c>
      <c r="K95" s="5">
        <v>1094</v>
      </c>
      <c r="L95" s="5">
        <v>5094</v>
      </c>
      <c r="M95" s="5">
        <v>95564</v>
      </c>
      <c r="N95" s="5" t="s">
        <v>38</v>
      </c>
      <c r="O95" s="5">
        <v>41</v>
      </c>
      <c r="P95" s="5">
        <v>3</v>
      </c>
      <c r="Q95" s="15" t="str">
        <f t="shared" si="5"/>
        <v>Good</v>
      </c>
      <c r="R95" s="6" t="s">
        <v>36</v>
      </c>
    </row>
    <row r="96" spans="1:18" x14ac:dyDescent="0.3">
      <c r="A96" s="4">
        <v>95</v>
      </c>
      <c r="B96" s="5" t="s">
        <v>130</v>
      </c>
      <c r="C96" s="5">
        <v>26</v>
      </c>
      <c r="D96" s="12" t="str">
        <f t="shared" si="3"/>
        <v>Young</v>
      </c>
      <c r="E96" s="5" t="s">
        <v>23</v>
      </c>
      <c r="F96" s="5" t="s">
        <v>43</v>
      </c>
      <c r="G96" s="5" t="s">
        <v>33</v>
      </c>
      <c r="H96" s="5" t="s">
        <v>29</v>
      </c>
      <c r="I96" s="5">
        <v>17</v>
      </c>
      <c r="J96" s="12" t="str">
        <f t="shared" si="4"/>
        <v>Expert</v>
      </c>
      <c r="K96" s="5">
        <v>1095</v>
      </c>
      <c r="L96" s="5">
        <v>5095</v>
      </c>
      <c r="M96" s="5">
        <v>97984</v>
      </c>
      <c r="N96" s="5" t="s">
        <v>30</v>
      </c>
      <c r="O96" s="5">
        <v>24</v>
      </c>
      <c r="P96" s="5">
        <v>4</v>
      </c>
      <c r="Q96" s="15" t="str">
        <f t="shared" si="5"/>
        <v>Excellent</v>
      </c>
      <c r="R96" s="6" t="s">
        <v>40</v>
      </c>
    </row>
    <row r="97" spans="1:18" x14ac:dyDescent="0.3">
      <c r="A97" s="4">
        <v>96</v>
      </c>
      <c r="B97" s="5" t="s">
        <v>131</v>
      </c>
      <c r="C97" s="5">
        <v>28</v>
      </c>
      <c r="D97" s="12" t="str">
        <f t="shared" si="3"/>
        <v>Young</v>
      </c>
      <c r="E97" s="5" t="s">
        <v>23</v>
      </c>
      <c r="F97" s="5" t="s">
        <v>24</v>
      </c>
      <c r="G97" s="5" t="s">
        <v>46</v>
      </c>
      <c r="H97" s="5" t="s">
        <v>19</v>
      </c>
      <c r="I97" s="5">
        <v>4</v>
      </c>
      <c r="J97" s="12" t="str">
        <f t="shared" si="4"/>
        <v>Junior</v>
      </c>
      <c r="K97" s="5">
        <v>1096</v>
      </c>
      <c r="L97" s="5">
        <v>5096</v>
      </c>
      <c r="M97" s="5">
        <v>79792</v>
      </c>
      <c r="N97" s="5" t="s">
        <v>27</v>
      </c>
      <c r="O97" s="5">
        <v>35</v>
      </c>
      <c r="P97" s="5">
        <v>4</v>
      </c>
      <c r="Q97" s="15" t="str">
        <f t="shared" si="5"/>
        <v>Excellent</v>
      </c>
      <c r="R97" s="6" t="s">
        <v>21</v>
      </c>
    </row>
    <row r="98" spans="1:18" x14ac:dyDescent="0.3">
      <c r="A98" s="4">
        <v>97</v>
      </c>
      <c r="B98" s="5" t="s">
        <v>132</v>
      </c>
      <c r="C98" s="5">
        <v>27</v>
      </c>
      <c r="D98" s="12" t="str">
        <f t="shared" si="3"/>
        <v>Young</v>
      </c>
      <c r="E98" s="5" t="s">
        <v>23</v>
      </c>
      <c r="F98" s="5" t="s">
        <v>24</v>
      </c>
      <c r="G98" s="5" t="s">
        <v>25</v>
      </c>
      <c r="H98" s="5" t="s">
        <v>26</v>
      </c>
      <c r="I98" s="5">
        <v>14</v>
      </c>
      <c r="J98" s="12" t="str">
        <f t="shared" si="4"/>
        <v>Senior</v>
      </c>
      <c r="K98" s="5">
        <v>1097</v>
      </c>
      <c r="L98" s="5">
        <v>5097</v>
      </c>
      <c r="M98" s="5">
        <v>65253</v>
      </c>
      <c r="N98" s="5" t="s">
        <v>27</v>
      </c>
      <c r="O98" s="5">
        <v>56</v>
      </c>
      <c r="P98" s="5">
        <v>3</v>
      </c>
      <c r="Q98" s="15" t="str">
        <f t="shared" si="5"/>
        <v>Good</v>
      </c>
      <c r="R98" s="6" t="s">
        <v>31</v>
      </c>
    </row>
    <row r="99" spans="1:18" x14ac:dyDescent="0.3">
      <c r="A99" s="4">
        <v>98</v>
      </c>
      <c r="B99" s="5" t="s">
        <v>133</v>
      </c>
      <c r="C99" s="5">
        <v>31</v>
      </c>
      <c r="D99" s="12" t="str">
        <f t="shared" si="3"/>
        <v>Mid Age</v>
      </c>
      <c r="E99" s="5" t="s">
        <v>16</v>
      </c>
      <c r="F99" s="5" t="s">
        <v>24</v>
      </c>
      <c r="G99" s="5" t="s">
        <v>46</v>
      </c>
      <c r="H99" s="5" t="s">
        <v>26</v>
      </c>
      <c r="I99" s="5">
        <v>16</v>
      </c>
      <c r="J99" s="12" t="str">
        <f t="shared" si="4"/>
        <v>Expert</v>
      </c>
      <c r="K99" s="5">
        <v>1098</v>
      </c>
      <c r="L99" s="5">
        <v>5098</v>
      </c>
      <c r="M99" s="5">
        <v>54051</v>
      </c>
      <c r="N99" s="5" t="s">
        <v>20</v>
      </c>
      <c r="O99" s="5">
        <v>30</v>
      </c>
      <c r="P99" s="5">
        <v>2</v>
      </c>
      <c r="Q99" s="15" t="str">
        <f t="shared" si="5"/>
        <v>Average</v>
      </c>
      <c r="R99" s="6" t="s">
        <v>40</v>
      </c>
    </row>
    <row r="100" spans="1:18" x14ac:dyDescent="0.3">
      <c r="A100" s="4">
        <v>99</v>
      </c>
      <c r="B100" s="5" t="s">
        <v>134</v>
      </c>
      <c r="C100" s="5">
        <v>53</v>
      </c>
      <c r="D100" s="12" t="str">
        <f t="shared" si="3"/>
        <v>Senior</v>
      </c>
      <c r="E100" s="5" t="s">
        <v>16</v>
      </c>
      <c r="F100" s="5" t="s">
        <v>24</v>
      </c>
      <c r="G100" s="5" t="s">
        <v>25</v>
      </c>
      <c r="H100" s="5" t="s">
        <v>19</v>
      </c>
      <c r="I100" s="5">
        <v>2</v>
      </c>
      <c r="J100" s="12" t="str">
        <f t="shared" si="4"/>
        <v>Beginner</v>
      </c>
      <c r="K100" s="5">
        <v>1099</v>
      </c>
      <c r="L100" s="5">
        <v>5099</v>
      </c>
      <c r="M100" s="5">
        <v>69811</v>
      </c>
      <c r="N100" s="5" t="s">
        <v>27</v>
      </c>
      <c r="O100" s="5">
        <v>57</v>
      </c>
      <c r="P100" s="5">
        <v>1</v>
      </c>
      <c r="Q100" s="15" t="str">
        <f t="shared" si="5"/>
        <v>Poor</v>
      </c>
      <c r="R100" s="6" t="s">
        <v>31</v>
      </c>
    </row>
    <row r="101" spans="1:18" x14ac:dyDescent="0.3">
      <c r="A101" s="4">
        <v>100</v>
      </c>
      <c r="B101" s="5" t="s">
        <v>135</v>
      </c>
      <c r="C101" s="5">
        <v>52</v>
      </c>
      <c r="D101" s="12" t="str">
        <f t="shared" si="3"/>
        <v>Senior</v>
      </c>
      <c r="E101" s="5" t="s">
        <v>16</v>
      </c>
      <c r="F101" s="5" t="s">
        <v>43</v>
      </c>
      <c r="G101" s="5" t="s">
        <v>18</v>
      </c>
      <c r="H101" s="5" t="s">
        <v>19</v>
      </c>
      <c r="I101" s="5">
        <v>11</v>
      </c>
      <c r="J101" s="12" t="str">
        <f t="shared" si="4"/>
        <v>Senior</v>
      </c>
      <c r="K101" s="5">
        <v>1100</v>
      </c>
      <c r="L101" s="5">
        <v>5100</v>
      </c>
      <c r="M101" s="5">
        <v>50447</v>
      </c>
      <c r="N101" s="5" t="s">
        <v>30</v>
      </c>
      <c r="O101" s="5">
        <v>94</v>
      </c>
      <c r="P101" s="5">
        <v>3</v>
      </c>
      <c r="Q101" s="15" t="str">
        <f t="shared" si="5"/>
        <v>Good</v>
      </c>
      <c r="R101" s="6" t="s">
        <v>40</v>
      </c>
    </row>
    <row r="102" spans="1:18" x14ac:dyDescent="0.3">
      <c r="A102" s="4">
        <v>101</v>
      </c>
      <c r="B102" s="5" t="s">
        <v>136</v>
      </c>
      <c r="C102" s="5">
        <v>42</v>
      </c>
      <c r="D102" s="12" t="str">
        <f t="shared" si="3"/>
        <v>Elder</v>
      </c>
      <c r="E102" s="5" t="s">
        <v>16</v>
      </c>
      <c r="F102" s="5" t="s">
        <v>43</v>
      </c>
      <c r="G102" s="5" t="s">
        <v>46</v>
      </c>
      <c r="H102" s="5" t="s">
        <v>26</v>
      </c>
      <c r="I102" s="5">
        <v>1</v>
      </c>
      <c r="J102" s="12" t="str">
        <f t="shared" si="4"/>
        <v>Beginner</v>
      </c>
      <c r="K102" s="5">
        <v>1101</v>
      </c>
      <c r="L102" s="5">
        <v>5101</v>
      </c>
      <c r="M102" s="5">
        <v>103930</v>
      </c>
      <c r="N102" s="5" t="s">
        <v>38</v>
      </c>
      <c r="O102" s="5">
        <v>47</v>
      </c>
      <c r="P102" s="5">
        <v>1</v>
      </c>
      <c r="Q102" s="15" t="str">
        <f t="shared" si="5"/>
        <v>Poor</v>
      </c>
      <c r="R102" s="6" t="s">
        <v>21</v>
      </c>
    </row>
    <row r="103" spans="1:18" x14ac:dyDescent="0.3">
      <c r="A103" s="4">
        <v>102</v>
      </c>
      <c r="B103" s="5" t="s">
        <v>137</v>
      </c>
      <c r="C103" s="5">
        <v>43</v>
      </c>
      <c r="D103" s="12" t="str">
        <f t="shared" si="3"/>
        <v>Elder</v>
      </c>
      <c r="E103" s="5" t="s">
        <v>16</v>
      </c>
      <c r="F103" s="5" t="s">
        <v>45</v>
      </c>
      <c r="G103" s="5" t="s">
        <v>33</v>
      </c>
      <c r="H103" s="5" t="s">
        <v>29</v>
      </c>
      <c r="I103" s="5">
        <v>0</v>
      </c>
      <c r="J103" s="12" t="str">
        <f t="shared" si="4"/>
        <v>Beginner</v>
      </c>
      <c r="K103" s="5">
        <v>1102</v>
      </c>
      <c r="L103" s="5">
        <v>5102</v>
      </c>
      <c r="M103" s="5">
        <v>50254</v>
      </c>
      <c r="N103" s="5" t="s">
        <v>20</v>
      </c>
      <c r="O103" s="5">
        <v>35</v>
      </c>
      <c r="P103" s="5">
        <v>1</v>
      </c>
      <c r="Q103" s="15" t="str">
        <f t="shared" si="5"/>
        <v>Poor</v>
      </c>
      <c r="R103" s="6" t="s">
        <v>21</v>
      </c>
    </row>
    <row r="104" spans="1:18" x14ac:dyDescent="0.3">
      <c r="A104" s="4">
        <v>103</v>
      </c>
      <c r="B104" s="5" t="s">
        <v>138</v>
      </c>
      <c r="C104" s="5">
        <v>56</v>
      </c>
      <c r="D104" s="12" t="str">
        <f t="shared" si="3"/>
        <v>Senior</v>
      </c>
      <c r="E104" s="5" t="s">
        <v>16</v>
      </c>
      <c r="F104" s="5" t="s">
        <v>17</v>
      </c>
      <c r="G104" s="5" t="s">
        <v>25</v>
      </c>
      <c r="H104" s="5" t="s">
        <v>29</v>
      </c>
      <c r="I104" s="5">
        <v>16</v>
      </c>
      <c r="J104" s="12" t="str">
        <f t="shared" si="4"/>
        <v>Expert</v>
      </c>
      <c r="K104" s="5">
        <v>1103</v>
      </c>
      <c r="L104" s="5">
        <v>5103</v>
      </c>
      <c r="M104" s="5">
        <v>104045</v>
      </c>
      <c r="N104" s="5" t="s">
        <v>30</v>
      </c>
      <c r="O104" s="5">
        <v>19</v>
      </c>
      <c r="P104" s="5">
        <v>3</v>
      </c>
      <c r="Q104" s="15" t="str">
        <f t="shared" si="5"/>
        <v>Good</v>
      </c>
      <c r="R104" s="6" t="s">
        <v>31</v>
      </c>
    </row>
    <row r="105" spans="1:18" x14ac:dyDescent="0.3">
      <c r="A105" s="4">
        <v>104</v>
      </c>
      <c r="B105" s="5" t="s">
        <v>139</v>
      </c>
      <c r="C105" s="5">
        <v>54</v>
      </c>
      <c r="D105" s="12" t="str">
        <f t="shared" si="3"/>
        <v>Senior</v>
      </c>
      <c r="E105" s="5" t="s">
        <v>16</v>
      </c>
      <c r="F105" s="5" t="s">
        <v>43</v>
      </c>
      <c r="G105" s="5" t="s">
        <v>25</v>
      </c>
      <c r="H105" s="5" t="s">
        <v>19</v>
      </c>
      <c r="I105" s="5">
        <v>15</v>
      </c>
      <c r="J105" s="12" t="str">
        <f t="shared" si="4"/>
        <v>Senior</v>
      </c>
      <c r="K105" s="5">
        <v>1104</v>
      </c>
      <c r="L105" s="5">
        <v>5104</v>
      </c>
      <c r="M105" s="5">
        <v>77418</v>
      </c>
      <c r="N105" s="5" t="s">
        <v>38</v>
      </c>
      <c r="O105" s="5">
        <v>8</v>
      </c>
      <c r="P105" s="5">
        <v>4</v>
      </c>
      <c r="Q105" s="15" t="str">
        <f t="shared" si="5"/>
        <v>Excellent</v>
      </c>
      <c r="R105" s="6" t="s">
        <v>21</v>
      </c>
    </row>
    <row r="106" spans="1:18" x14ac:dyDescent="0.3">
      <c r="A106" s="4">
        <v>105</v>
      </c>
      <c r="B106" s="5" t="s">
        <v>140</v>
      </c>
      <c r="C106" s="5">
        <v>59</v>
      </c>
      <c r="D106" s="12" t="str">
        <f t="shared" si="3"/>
        <v>Senior</v>
      </c>
      <c r="E106" s="5" t="s">
        <v>23</v>
      </c>
      <c r="F106" s="5" t="s">
        <v>43</v>
      </c>
      <c r="G106" s="5" t="s">
        <v>46</v>
      </c>
      <c r="H106" s="5" t="s">
        <v>29</v>
      </c>
      <c r="I106" s="5">
        <v>4</v>
      </c>
      <c r="J106" s="12" t="str">
        <f t="shared" si="4"/>
        <v>Junior</v>
      </c>
      <c r="K106" s="5">
        <v>1105</v>
      </c>
      <c r="L106" s="5">
        <v>5105</v>
      </c>
      <c r="M106" s="5">
        <v>34472</v>
      </c>
      <c r="N106" s="5" t="s">
        <v>20</v>
      </c>
      <c r="O106" s="5">
        <v>26</v>
      </c>
      <c r="P106" s="5">
        <v>1</v>
      </c>
      <c r="Q106" s="15" t="str">
        <f t="shared" si="5"/>
        <v>Poor</v>
      </c>
      <c r="R106" s="6" t="s">
        <v>36</v>
      </c>
    </row>
    <row r="107" spans="1:18" x14ac:dyDescent="0.3">
      <c r="A107" s="4">
        <v>106</v>
      </c>
      <c r="B107" s="5" t="s">
        <v>141</v>
      </c>
      <c r="C107" s="5">
        <v>41</v>
      </c>
      <c r="D107" s="12" t="str">
        <f t="shared" si="3"/>
        <v>Elder</v>
      </c>
      <c r="E107" s="5" t="s">
        <v>23</v>
      </c>
      <c r="F107" s="5" t="s">
        <v>17</v>
      </c>
      <c r="G107" s="5" t="s">
        <v>18</v>
      </c>
      <c r="H107" s="5" t="s">
        <v>26</v>
      </c>
      <c r="I107" s="5">
        <v>14</v>
      </c>
      <c r="J107" s="12" t="str">
        <f t="shared" si="4"/>
        <v>Senior</v>
      </c>
      <c r="K107" s="5">
        <v>1106</v>
      </c>
      <c r="L107" s="5">
        <v>5106</v>
      </c>
      <c r="M107" s="5">
        <v>23471</v>
      </c>
      <c r="N107" s="5" t="s">
        <v>27</v>
      </c>
      <c r="O107" s="5">
        <v>71</v>
      </c>
      <c r="P107" s="5">
        <v>1</v>
      </c>
      <c r="Q107" s="15" t="str">
        <f t="shared" si="5"/>
        <v>Poor</v>
      </c>
      <c r="R107" s="6" t="s">
        <v>40</v>
      </c>
    </row>
    <row r="108" spans="1:18" x14ac:dyDescent="0.3">
      <c r="A108" s="4">
        <v>107</v>
      </c>
      <c r="B108" s="5" t="s">
        <v>142</v>
      </c>
      <c r="C108" s="5">
        <v>46</v>
      </c>
      <c r="D108" s="12" t="str">
        <f t="shared" si="3"/>
        <v>Elder</v>
      </c>
      <c r="E108" s="5" t="s">
        <v>16</v>
      </c>
      <c r="F108" s="5" t="s">
        <v>43</v>
      </c>
      <c r="G108" s="5" t="s">
        <v>46</v>
      </c>
      <c r="H108" s="5" t="s">
        <v>19</v>
      </c>
      <c r="I108" s="5">
        <v>2</v>
      </c>
      <c r="J108" s="12" t="str">
        <f t="shared" si="4"/>
        <v>Beginner</v>
      </c>
      <c r="K108" s="5">
        <v>1107</v>
      </c>
      <c r="L108" s="5">
        <v>5107</v>
      </c>
      <c r="M108" s="5">
        <v>115804</v>
      </c>
      <c r="N108" s="5" t="s">
        <v>30</v>
      </c>
      <c r="O108" s="5">
        <v>30</v>
      </c>
      <c r="P108" s="5">
        <v>2</v>
      </c>
      <c r="Q108" s="15" t="str">
        <f t="shared" si="5"/>
        <v>Average</v>
      </c>
      <c r="R108" s="6" t="s">
        <v>21</v>
      </c>
    </row>
    <row r="109" spans="1:18" x14ac:dyDescent="0.3">
      <c r="A109" s="4">
        <v>108</v>
      </c>
      <c r="B109" s="5" t="s">
        <v>143</v>
      </c>
      <c r="C109" s="5">
        <v>54</v>
      </c>
      <c r="D109" s="12" t="str">
        <f t="shared" si="3"/>
        <v>Senior</v>
      </c>
      <c r="E109" s="5" t="s">
        <v>16</v>
      </c>
      <c r="F109" s="5" t="s">
        <v>24</v>
      </c>
      <c r="G109" s="5" t="s">
        <v>18</v>
      </c>
      <c r="H109" s="5" t="s">
        <v>26</v>
      </c>
      <c r="I109" s="5">
        <v>6</v>
      </c>
      <c r="J109" s="12" t="str">
        <f t="shared" si="4"/>
        <v>Mid-level</v>
      </c>
      <c r="K109" s="5">
        <v>1108</v>
      </c>
      <c r="L109" s="5">
        <v>5108</v>
      </c>
      <c r="M109" s="5">
        <v>28329</v>
      </c>
      <c r="N109" s="5" t="s">
        <v>38</v>
      </c>
      <c r="O109" s="5">
        <v>7</v>
      </c>
      <c r="P109" s="5">
        <v>4</v>
      </c>
      <c r="Q109" s="15" t="str">
        <f t="shared" si="5"/>
        <v>Excellent</v>
      </c>
      <c r="R109" s="6" t="s">
        <v>36</v>
      </c>
    </row>
    <row r="110" spans="1:18" x14ac:dyDescent="0.3">
      <c r="A110" s="4">
        <v>109</v>
      </c>
      <c r="B110" s="5" t="s">
        <v>144</v>
      </c>
      <c r="C110" s="5">
        <v>20</v>
      </c>
      <c r="D110" s="12" t="str">
        <f t="shared" si="3"/>
        <v>Young</v>
      </c>
      <c r="E110" s="5" t="s">
        <v>23</v>
      </c>
      <c r="F110" s="5" t="s">
        <v>24</v>
      </c>
      <c r="G110" s="5" t="s">
        <v>18</v>
      </c>
      <c r="H110" s="5" t="s">
        <v>26</v>
      </c>
      <c r="I110" s="5">
        <v>10</v>
      </c>
      <c r="J110" s="12" t="str">
        <f t="shared" si="4"/>
        <v>Mid-level</v>
      </c>
      <c r="K110" s="5">
        <v>1109</v>
      </c>
      <c r="L110" s="5">
        <v>5109</v>
      </c>
      <c r="M110" s="5">
        <v>54865</v>
      </c>
      <c r="N110" s="5" t="s">
        <v>20</v>
      </c>
      <c r="O110" s="5">
        <v>67</v>
      </c>
      <c r="P110" s="5">
        <v>1</v>
      </c>
      <c r="Q110" s="15" t="str">
        <f t="shared" si="5"/>
        <v>Poor</v>
      </c>
      <c r="R110" s="6" t="s">
        <v>31</v>
      </c>
    </row>
    <row r="111" spans="1:18" x14ac:dyDescent="0.3">
      <c r="A111" s="4">
        <v>110</v>
      </c>
      <c r="B111" s="5" t="s">
        <v>145</v>
      </c>
      <c r="C111" s="5">
        <v>54</v>
      </c>
      <c r="D111" s="12" t="str">
        <f t="shared" si="3"/>
        <v>Senior</v>
      </c>
      <c r="E111" s="5" t="s">
        <v>16</v>
      </c>
      <c r="F111" s="5" t="s">
        <v>17</v>
      </c>
      <c r="G111" s="5" t="s">
        <v>25</v>
      </c>
      <c r="H111" s="5" t="s">
        <v>29</v>
      </c>
      <c r="I111" s="5">
        <v>9</v>
      </c>
      <c r="J111" s="12" t="str">
        <f t="shared" si="4"/>
        <v>Mid-level</v>
      </c>
      <c r="K111" s="5">
        <v>1110</v>
      </c>
      <c r="L111" s="5">
        <v>5110</v>
      </c>
      <c r="M111" s="5">
        <v>66850</v>
      </c>
      <c r="N111" s="5" t="s">
        <v>20</v>
      </c>
      <c r="O111" s="5">
        <v>65</v>
      </c>
      <c r="P111" s="5">
        <v>2</v>
      </c>
      <c r="Q111" s="15" t="str">
        <f t="shared" si="5"/>
        <v>Average</v>
      </c>
      <c r="R111" s="6" t="s">
        <v>36</v>
      </c>
    </row>
    <row r="112" spans="1:18" x14ac:dyDescent="0.3">
      <c r="A112" s="4">
        <v>111</v>
      </c>
      <c r="B112" s="5" t="s">
        <v>146</v>
      </c>
      <c r="C112" s="5">
        <v>56</v>
      </c>
      <c r="D112" s="12" t="str">
        <f t="shared" si="3"/>
        <v>Senior</v>
      </c>
      <c r="E112" s="5" t="s">
        <v>16</v>
      </c>
      <c r="F112" s="5" t="s">
        <v>45</v>
      </c>
      <c r="G112" s="5" t="s">
        <v>46</v>
      </c>
      <c r="H112" s="5" t="s">
        <v>19</v>
      </c>
      <c r="I112" s="5">
        <v>8</v>
      </c>
      <c r="J112" s="12" t="str">
        <f t="shared" si="4"/>
        <v>Mid-level</v>
      </c>
      <c r="K112" s="5">
        <v>1111</v>
      </c>
      <c r="L112" s="5">
        <v>5111</v>
      </c>
      <c r="M112" s="5">
        <v>74220</v>
      </c>
      <c r="N112" s="5" t="s">
        <v>27</v>
      </c>
      <c r="O112" s="5">
        <v>36</v>
      </c>
      <c r="P112" s="5">
        <v>4</v>
      </c>
      <c r="Q112" s="15" t="str">
        <f t="shared" si="5"/>
        <v>Excellent</v>
      </c>
      <c r="R112" s="6" t="s">
        <v>31</v>
      </c>
    </row>
    <row r="113" spans="1:18" x14ac:dyDescent="0.3">
      <c r="A113" s="4">
        <v>112</v>
      </c>
      <c r="B113" s="5" t="s">
        <v>147</v>
      </c>
      <c r="C113" s="5">
        <v>33</v>
      </c>
      <c r="D113" s="12" t="str">
        <f t="shared" si="3"/>
        <v>Mid Age</v>
      </c>
      <c r="E113" s="5" t="s">
        <v>23</v>
      </c>
      <c r="F113" s="5" t="s">
        <v>45</v>
      </c>
      <c r="G113" s="5" t="s">
        <v>46</v>
      </c>
      <c r="H113" s="5" t="s">
        <v>19</v>
      </c>
      <c r="I113" s="5">
        <v>13</v>
      </c>
      <c r="J113" s="12" t="str">
        <f t="shared" si="4"/>
        <v>Senior</v>
      </c>
      <c r="K113" s="5">
        <v>1112</v>
      </c>
      <c r="L113" s="5">
        <v>5112</v>
      </c>
      <c r="M113" s="5">
        <v>113808</v>
      </c>
      <c r="N113" s="5" t="s">
        <v>38</v>
      </c>
      <c r="O113" s="5">
        <v>25</v>
      </c>
      <c r="P113" s="5">
        <v>3</v>
      </c>
      <c r="Q113" s="15" t="str">
        <f t="shared" si="5"/>
        <v>Good</v>
      </c>
      <c r="R113" s="6" t="s">
        <v>31</v>
      </c>
    </row>
    <row r="114" spans="1:18" x14ac:dyDescent="0.3">
      <c r="A114" s="4">
        <v>113</v>
      </c>
      <c r="B114" s="5" t="s">
        <v>148</v>
      </c>
      <c r="C114" s="5">
        <v>22</v>
      </c>
      <c r="D114" s="12" t="str">
        <f t="shared" si="3"/>
        <v>Young</v>
      </c>
      <c r="E114" s="5" t="s">
        <v>16</v>
      </c>
      <c r="F114" s="5" t="s">
        <v>17</v>
      </c>
      <c r="G114" s="5" t="s">
        <v>18</v>
      </c>
      <c r="H114" s="5" t="s">
        <v>29</v>
      </c>
      <c r="I114" s="5">
        <v>12</v>
      </c>
      <c r="J114" s="12" t="str">
        <f t="shared" si="4"/>
        <v>Senior</v>
      </c>
      <c r="K114" s="5">
        <v>1113</v>
      </c>
      <c r="L114" s="5">
        <v>5113</v>
      </c>
      <c r="M114" s="5">
        <v>26397</v>
      </c>
      <c r="N114" s="5" t="s">
        <v>27</v>
      </c>
      <c r="O114" s="5">
        <v>37</v>
      </c>
      <c r="P114" s="5">
        <v>3</v>
      </c>
      <c r="Q114" s="15" t="str">
        <f t="shared" si="5"/>
        <v>Good</v>
      </c>
      <c r="R114" s="6" t="s">
        <v>40</v>
      </c>
    </row>
    <row r="115" spans="1:18" x14ac:dyDescent="0.3">
      <c r="A115" s="4">
        <v>114</v>
      </c>
      <c r="B115" s="5" t="s">
        <v>149</v>
      </c>
      <c r="C115" s="5">
        <v>20</v>
      </c>
      <c r="D115" s="12" t="str">
        <f t="shared" si="3"/>
        <v>Young</v>
      </c>
      <c r="E115" s="5" t="s">
        <v>23</v>
      </c>
      <c r="F115" s="5" t="s">
        <v>17</v>
      </c>
      <c r="G115" s="5" t="s">
        <v>46</v>
      </c>
      <c r="H115" s="5" t="s">
        <v>26</v>
      </c>
      <c r="I115" s="5">
        <v>1</v>
      </c>
      <c r="J115" s="12" t="str">
        <f t="shared" si="4"/>
        <v>Beginner</v>
      </c>
      <c r="K115" s="5">
        <v>1114</v>
      </c>
      <c r="L115" s="5">
        <v>5114</v>
      </c>
      <c r="M115" s="5">
        <v>117909</v>
      </c>
      <c r="N115" s="5" t="s">
        <v>27</v>
      </c>
      <c r="O115" s="5">
        <v>1</v>
      </c>
      <c r="P115" s="5">
        <v>2</v>
      </c>
      <c r="Q115" s="15" t="str">
        <f t="shared" si="5"/>
        <v>Average</v>
      </c>
      <c r="R115" s="6" t="s">
        <v>40</v>
      </c>
    </row>
    <row r="116" spans="1:18" x14ac:dyDescent="0.3">
      <c r="A116" s="4">
        <v>115</v>
      </c>
      <c r="B116" s="5" t="s">
        <v>150</v>
      </c>
      <c r="C116" s="5">
        <v>24</v>
      </c>
      <c r="D116" s="12" t="str">
        <f t="shared" si="3"/>
        <v>Young</v>
      </c>
      <c r="E116" s="5" t="s">
        <v>16</v>
      </c>
      <c r="F116" s="5" t="s">
        <v>24</v>
      </c>
      <c r="G116" s="5" t="s">
        <v>33</v>
      </c>
      <c r="H116" s="5" t="s">
        <v>26</v>
      </c>
      <c r="I116" s="5">
        <v>2</v>
      </c>
      <c r="J116" s="12" t="str">
        <f t="shared" si="4"/>
        <v>Beginner</v>
      </c>
      <c r="K116" s="5">
        <v>1115</v>
      </c>
      <c r="L116" s="5">
        <v>5115</v>
      </c>
      <c r="M116" s="5">
        <v>55525</v>
      </c>
      <c r="N116" s="5" t="s">
        <v>38</v>
      </c>
      <c r="O116" s="5">
        <v>15</v>
      </c>
      <c r="P116" s="5">
        <v>3</v>
      </c>
      <c r="Q116" s="15" t="str">
        <f t="shared" si="5"/>
        <v>Good</v>
      </c>
      <c r="R116" s="6" t="s">
        <v>36</v>
      </c>
    </row>
    <row r="117" spans="1:18" x14ac:dyDescent="0.3">
      <c r="A117" s="4">
        <v>116</v>
      </c>
      <c r="B117" s="5" t="s">
        <v>151</v>
      </c>
      <c r="C117" s="5">
        <v>45</v>
      </c>
      <c r="D117" s="12" t="str">
        <f t="shared" si="3"/>
        <v>Elder</v>
      </c>
      <c r="E117" s="5" t="s">
        <v>23</v>
      </c>
      <c r="F117" s="5" t="s">
        <v>45</v>
      </c>
      <c r="G117" s="5" t="s">
        <v>33</v>
      </c>
      <c r="H117" s="5" t="s">
        <v>26</v>
      </c>
      <c r="I117" s="5">
        <v>6</v>
      </c>
      <c r="J117" s="12" t="str">
        <f t="shared" si="4"/>
        <v>Mid-level</v>
      </c>
      <c r="K117" s="5">
        <v>1116</v>
      </c>
      <c r="L117" s="5">
        <v>5116</v>
      </c>
      <c r="M117" s="5">
        <v>73072</v>
      </c>
      <c r="N117" s="5" t="s">
        <v>38</v>
      </c>
      <c r="O117" s="5">
        <v>37</v>
      </c>
      <c r="P117" s="5">
        <v>1</v>
      </c>
      <c r="Q117" s="15" t="str">
        <f t="shared" si="5"/>
        <v>Poor</v>
      </c>
      <c r="R117" s="6" t="s">
        <v>40</v>
      </c>
    </row>
    <row r="118" spans="1:18" x14ac:dyDescent="0.3">
      <c r="A118" s="4">
        <v>117</v>
      </c>
      <c r="B118" s="5" t="s">
        <v>152</v>
      </c>
      <c r="C118" s="5">
        <v>33</v>
      </c>
      <c r="D118" s="12" t="str">
        <f t="shared" si="3"/>
        <v>Mid Age</v>
      </c>
      <c r="E118" s="5" t="s">
        <v>23</v>
      </c>
      <c r="F118" s="5" t="s">
        <v>43</v>
      </c>
      <c r="G118" s="5" t="s">
        <v>46</v>
      </c>
      <c r="H118" s="5" t="s">
        <v>26</v>
      </c>
      <c r="I118" s="5">
        <v>17</v>
      </c>
      <c r="J118" s="12" t="str">
        <f t="shared" si="4"/>
        <v>Expert</v>
      </c>
      <c r="K118" s="5">
        <v>1117</v>
      </c>
      <c r="L118" s="5">
        <v>5117</v>
      </c>
      <c r="M118" s="5">
        <v>110106</v>
      </c>
      <c r="N118" s="5" t="s">
        <v>38</v>
      </c>
      <c r="O118" s="5">
        <v>13</v>
      </c>
      <c r="P118" s="5">
        <v>4</v>
      </c>
      <c r="Q118" s="15" t="str">
        <f t="shared" si="5"/>
        <v>Excellent</v>
      </c>
      <c r="R118" s="6" t="s">
        <v>40</v>
      </c>
    </row>
    <row r="119" spans="1:18" x14ac:dyDescent="0.3">
      <c r="A119" s="4">
        <v>118</v>
      </c>
      <c r="B119" s="5" t="s">
        <v>153</v>
      </c>
      <c r="C119" s="5">
        <v>58</v>
      </c>
      <c r="D119" s="12" t="str">
        <f t="shared" si="3"/>
        <v>Senior</v>
      </c>
      <c r="E119" s="5" t="s">
        <v>23</v>
      </c>
      <c r="F119" s="5" t="s">
        <v>24</v>
      </c>
      <c r="G119" s="5" t="s">
        <v>46</v>
      </c>
      <c r="H119" s="5" t="s">
        <v>19</v>
      </c>
      <c r="I119" s="5">
        <v>2</v>
      </c>
      <c r="J119" s="12" t="str">
        <f t="shared" si="4"/>
        <v>Beginner</v>
      </c>
      <c r="K119" s="5">
        <v>1118</v>
      </c>
      <c r="L119" s="5">
        <v>5118</v>
      </c>
      <c r="M119" s="5">
        <v>103820</v>
      </c>
      <c r="N119" s="5" t="s">
        <v>30</v>
      </c>
      <c r="O119" s="5">
        <v>8</v>
      </c>
      <c r="P119" s="5">
        <v>1</v>
      </c>
      <c r="Q119" s="15" t="str">
        <f t="shared" si="5"/>
        <v>Poor</v>
      </c>
      <c r="R119" s="6" t="s">
        <v>40</v>
      </c>
    </row>
    <row r="120" spans="1:18" x14ac:dyDescent="0.3">
      <c r="A120" s="4">
        <v>119</v>
      </c>
      <c r="B120" s="5" t="s">
        <v>154</v>
      </c>
      <c r="C120" s="5">
        <v>46</v>
      </c>
      <c r="D120" s="12" t="str">
        <f t="shared" si="3"/>
        <v>Elder</v>
      </c>
      <c r="E120" s="5" t="s">
        <v>16</v>
      </c>
      <c r="F120" s="5" t="s">
        <v>17</v>
      </c>
      <c r="G120" s="5" t="s">
        <v>18</v>
      </c>
      <c r="H120" s="5" t="s">
        <v>19</v>
      </c>
      <c r="I120" s="5">
        <v>9</v>
      </c>
      <c r="J120" s="12" t="str">
        <f t="shared" si="4"/>
        <v>Mid-level</v>
      </c>
      <c r="K120" s="5">
        <v>1119</v>
      </c>
      <c r="L120" s="5">
        <v>5119</v>
      </c>
      <c r="M120" s="5">
        <v>104530</v>
      </c>
      <c r="N120" s="5" t="s">
        <v>38</v>
      </c>
      <c r="O120" s="5">
        <v>5</v>
      </c>
      <c r="P120" s="5">
        <v>1</v>
      </c>
      <c r="Q120" s="15" t="str">
        <f t="shared" si="5"/>
        <v>Poor</v>
      </c>
      <c r="R120" s="6" t="s">
        <v>36</v>
      </c>
    </row>
    <row r="121" spans="1:18" x14ac:dyDescent="0.3">
      <c r="A121" s="4">
        <v>120</v>
      </c>
      <c r="B121" s="5" t="s">
        <v>155</v>
      </c>
      <c r="C121" s="5">
        <v>28</v>
      </c>
      <c r="D121" s="12" t="str">
        <f t="shared" si="3"/>
        <v>Young</v>
      </c>
      <c r="E121" s="5" t="s">
        <v>23</v>
      </c>
      <c r="F121" s="5" t="s">
        <v>45</v>
      </c>
      <c r="G121" s="5" t="s">
        <v>33</v>
      </c>
      <c r="H121" s="5" t="s">
        <v>29</v>
      </c>
      <c r="I121" s="5">
        <v>6</v>
      </c>
      <c r="J121" s="12" t="str">
        <f t="shared" si="4"/>
        <v>Mid-level</v>
      </c>
      <c r="K121" s="5">
        <v>1120</v>
      </c>
      <c r="L121" s="5">
        <v>5120</v>
      </c>
      <c r="M121" s="5">
        <v>43284</v>
      </c>
      <c r="N121" s="5" t="s">
        <v>20</v>
      </c>
      <c r="O121" s="5">
        <v>60</v>
      </c>
      <c r="P121" s="5">
        <v>3</v>
      </c>
      <c r="Q121" s="15" t="str">
        <f t="shared" si="5"/>
        <v>Good</v>
      </c>
      <c r="R121" s="6" t="s">
        <v>21</v>
      </c>
    </row>
    <row r="122" spans="1:18" x14ac:dyDescent="0.3">
      <c r="A122" s="4">
        <v>121</v>
      </c>
      <c r="B122" s="5" t="s">
        <v>156</v>
      </c>
      <c r="C122" s="5">
        <v>34</v>
      </c>
      <c r="D122" s="12" t="str">
        <f t="shared" si="3"/>
        <v>Mid Age</v>
      </c>
      <c r="E122" s="5" t="s">
        <v>16</v>
      </c>
      <c r="F122" s="5" t="s">
        <v>43</v>
      </c>
      <c r="G122" s="5" t="s">
        <v>33</v>
      </c>
      <c r="H122" s="5" t="s">
        <v>29</v>
      </c>
      <c r="I122" s="5">
        <v>8</v>
      </c>
      <c r="J122" s="12" t="str">
        <f t="shared" si="4"/>
        <v>Mid-level</v>
      </c>
      <c r="K122" s="5">
        <v>1121</v>
      </c>
      <c r="L122" s="5">
        <v>5121</v>
      </c>
      <c r="M122" s="5">
        <v>81330</v>
      </c>
      <c r="N122" s="5" t="s">
        <v>27</v>
      </c>
      <c r="O122" s="5">
        <v>73</v>
      </c>
      <c r="P122" s="5">
        <v>1</v>
      </c>
      <c r="Q122" s="15" t="str">
        <f t="shared" si="5"/>
        <v>Poor</v>
      </c>
      <c r="R122" s="6" t="s">
        <v>40</v>
      </c>
    </row>
    <row r="123" spans="1:18" x14ac:dyDescent="0.3">
      <c r="A123" s="4">
        <v>122</v>
      </c>
      <c r="B123" s="5" t="s">
        <v>157</v>
      </c>
      <c r="C123" s="5">
        <v>34</v>
      </c>
      <c r="D123" s="12" t="str">
        <f t="shared" si="3"/>
        <v>Mid Age</v>
      </c>
      <c r="E123" s="5" t="s">
        <v>16</v>
      </c>
      <c r="F123" s="5" t="s">
        <v>43</v>
      </c>
      <c r="G123" s="5" t="s">
        <v>25</v>
      </c>
      <c r="H123" s="5" t="s">
        <v>19</v>
      </c>
      <c r="I123" s="5">
        <v>16</v>
      </c>
      <c r="J123" s="12" t="str">
        <f t="shared" si="4"/>
        <v>Expert</v>
      </c>
      <c r="K123" s="5">
        <v>1122</v>
      </c>
      <c r="L123" s="5">
        <v>5122</v>
      </c>
      <c r="M123" s="5">
        <v>103369</v>
      </c>
      <c r="N123" s="5" t="s">
        <v>30</v>
      </c>
      <c r="O123" s="5">
        <v>1</v>
      </c>
      <c r="P123" s="5">
        <v>3</v>
      </c>
      <c r="Q123" s="15" t="str">
        <f t="shared" si="5"/>
        <v>Good</v>
      </c>
      <c r="R123" s="6" t="s">
        <v>40</v>
      </c>
    </row>
    <row r="124" spans="1:18" x14ac:dyDescent="0.3">
      <c r="A124" s="4">
        <v>123</v>
      </c>
      <c r="B124" s="5" t="s">
        <v>158</v>
      </c>
      <c r="C124" s="5">
        <v>45</v>
      </c>
      <c r="D124" s="12" t="str">
        <f t="shared" si="3"/>
        <v>Elder</v>
      </c>
      <c r="E124" s="5" t="s">
        <v>16</v>
      </c>
      <c r="F124" s="5" t="s">
        <v>24</v>
      </c>
      <c r="G124" s="5" t="s">
        <v>18</v>
      </c>
      <c r="H124" s="5" t="s">
        <v>19</v>
      </c>
      <c r="I124" s="5">
        <v>10</v>
      </c>
      <c r="J124" s="12" t="str">
        <f t="shared" si="4"/>
        <v>Mid-level</v>
      </c>
      <c r="K124" s="5">
        <v>1123</v>
      </c>
      <c r="L124" s="5">
        <v>5123</v>
      </c>
      <c r="M124" s="5">
        <v>45122</v>
      </c>
      <c r="N124" s="5" t="s">
        <v>38</v>
      </c>
      <c r="O124" s="5">
        <v>36</v>
      </c>
      <c r="P124" s="5">
        <v>4</v>
      </c>
      <c r="Q124" s="15" t="str">
        <f t="shared" si="5"/>
        <v>Excellent</v>
      </c>
      <c r="R124" s="6" t="s">
        <v>36</v>
      </c>
    </row>
    <row r="125" spans="1:18" x14ac:dyDescent="0.3">
      <c r="A125" s="4">
        <v>124</v>
      </c>
      <c r="B125" s="5" t="s">
        <v>159</v>
      </c>
      <c r="C125" s="5">
        <v>32</v>
      </c>
      <c r="D125" s="12" t="str">
        <f t="shared" si="3"/>
        <v>Mid Age</v>
      </c>
      <c r="E125" s="5" t="s">
        <v>16</v>
      </c>
      <c r="F125" s="5" t="s">
        <v>45</v>
      </c>
      <c r="G125" s="5" t="s">
        <v>25</v>
      </c>
      <c r="H125" s="5" t="s">
        <v>26</v>
      </c>
      <c r="I125" s="5">
        <v>6</v>
      </c>
      <c r="J125" s="12" t="str">
        <f t="shared" si="4"/>
        <v>Mid-level</v>
      </c>
      <c r="K125" s="5">
        <v>1124</v>
      </c>
      <c r="L125" s="5">
        <v>5124</v>
      </c>
      <c r="M125" s="5">
        <v>90553</v>
      </c>
      <c r="N125" s="5" t="s">
        <v>30</v>
      </c>
      <c r="O125" s="5">
        <v>35</v>
      </c>
      <c r="P125" s="5">
        <v>4</v>
      </c>
      <c r="Q125" s="15" t="str">
        <f t="shared" si="5"/>
        <v>Excellent</v>
      </c>
      <c r="R125" s="6" t="s">
        <v>21</v>
      </c>
    </row>
    <row r="126" spans="1:18" x14ac:dyDescent="0.3">
      <c r="A126" s="4">
        <v>125</v>
      </c>
      <c r="B126" s="5" t="s">
        <v>160</v>
      </c>
      <c r="C126" s="5">
        <v>51</v>
      </c>
      <c r="D126" s="12" t="str">
        <f t="shared" si="3"/>
        <v>Senior</v>
      </c>
      <c r="E126" s="5" t="s">
        <v>23</v>
      </c>
      <c r="F126" s="5" t="s">
        <v>45</v>
      </c>
      <c r="G126" s="5" t="s">
        <v>33</v>
      </c>
      <c r="H126" s="5" t="s">
        <v>26</v>
      </c>
      <c r="I126" s="5">
        <v>13</v>
      </c>
      <c r="J126" s="12" t="str">
        <f t="shared" si="4"/>
        <v>Senior</v>
      </c>
      <c r="K126" s="5">
        <v>1125</v>
      </c>
      <c r="L126" s="5">
        <v>5125</v>
      </c>
      <c r="M126" s="5">
        <v>101906</v>
      </c>
      <c r="N126" s="5" t="s">
        <v>38</v>
      </c>
      <c r="O126" s="5">
        <v>66</v>
      </c>
      <c r="P126" s="5">
        <v>1</v>
      </c>
      <c r="Q126" s="15" t="str">
        <f t="shared" si="5"/>
        <v>Poor</v>
      </c>
      <c r="R126" s="6" t="s">
        <v>40</v>
      </c>
    </row>
    <row r="127" spans="1:18" x14ac:dyDescent="0.3">
      <c r="A127" s="4">
        <v>126</v>
      </c>
      <c r="B127" s="5" t="s">
        <v>161</v>
      </c>
      <c r="C127" s="5">
        <v>58</v>
      </c>
      <c r="D127" s="12" t="str">
        <f t="shared" si="3"/>
        <v>Senior</v>
      </c>
      <c r="E127" s="5" t="s">
        <v>23</v>
      </c>
      <c r="F127" s="5" t="s">
        <v>17</v>
      </c>
      <c r="G127" s="5" t="s">
        <v>18</v>
      </c>
      <c r="H127" s="5" t="s">
        <v>29</v>
      </c>
      <c r="I127" s="5">
        <v>18</v>
      </c>
      <c r="J127" s="12" t="str">
        <f t="shared" si="4"/>
        <v>Expert</v>
      </c>
      <c r="K127" s="5">
        <v>1126</v>
      </c>
      <c r="L127" s="5">
        <v>5126</v>
      </c>
      <c r="M127" s="5">
        <v>114788</v>
      </c>
      <c r="N127" s="5" t="s">
        <v>30</v>
      </c>
      <c r="O127" s="5">
        <v>63</v>
      </c>
      <c r="P127" s="5">
        <v>2</v>
      </c>
      <c r="Q127" s="15" t="str">
        <f t="shared" si="5"/>
        <v>Average</v>
      </c>
      <c r="R127" s="6" t="s">
        <v>31</v>
      </c>
    </row>
    <row r="128" spans="1:18" x14ac:dyDescent="0.3">
      <c r="A128" s="4">
        <v>127</v>
      </c>
      <c r="B128" s="5" t="s">
        <v>162</v>
      </c>
      <c r="C128" s="5">
        <v>51</v>
      </c>
      <c r="D128" s="12" t="str">
        <f t="shared" si="3"/>
        <v>Senior</v>
      </c>
      <c r="E128" s="5" t="s">
        <v>16</v>
      </c>
      <c r="F128" s="5" t="s">
        <v>45</v>
      </c>
      <c r="G128" s="5" t="s">
        <v>46</v>
      </c>
      <c r="H128" s="5" t="s">
        <v>19</v>
      </c>
      <c r="I128" s="5">
        <v>3</v>
      </c>
      <c r="J128" s="12" t="str">
        <f t="shared" si="4"/>
        <v>Junior</v>
      </c>
      <c r="K128" s="5">
        <v>1127</v>
      </c>
      <c r="L128" s="5">
        <v>5127</v>
      </c>
      <c r="M128" s="5">
        <v>82812</v>
      </c>
      <c r="N128" s="5" t="s">
        <v>27</v>
      </c>
      <c r="O128" s="5">
        <v>23</v>
      </c>
      <c r="P128" s="5">
        <v>3</v>
      </c>
      <c r="Q128" s="15" t="str">
        <f t="shared" si="5"/>
        <v>Good</v>
      </c>
      <c r="R128" s="6" t="s">
        <v>36</v>
      </c>
    </row>
    <row r="129" spans="1:18" x14ac:dyDescent="0.3">
      <c r="A129" s="4">
        <v>128</v>
      </c>
      <c r="B129" s="5" t="s">
        <v>163</v>
      </c>
      <c r="C129" s="5">
        <v>23</v>
      </c>
      <c r="D129" s="12" t="str">
        <f t="shared" si="3"/>
        <v>Young</v>
      </c>
      <c r="E129" s="5" t="s">
        <v>16</v>
      </c>
      <c r="F129" s="5" t="s">
        <v>45</v>
      </c>
      <c r="G129" s="5" t="s">
        <v>18</v>
      </c>
      <c r="H129" s="5" t="s">
        <v>29</v>
      </c>
      <c r="I129" s="5">
        <v>5</v>
      </c>
      <c r="J129" s="12" t="str">
        <f t="shared" si="4"/>
        <v>Junior</v>
      </c>
      <c r="K129" s="5">
        <v>1128</v>
      </c>
      <c r="L129" s="5">
        <v>5128</v>
      </c>
      <c r="M129" s="5">
        <v>27999</v>
      </c>
      <c r="N129" s="5" t="s">
        <v>27</v>
      </c>
      <c r="O129" s="5">
        <v>9</v>
      </c>
      <c r="P129" s="5">
        <v>3</v>
      </c>
      <c r="Q129" s="15" t="str">
        <f t="shared" si="5"/>
        <v>Good</v>
      </c>
      <c r="R129" s="6" t="s">
        <v>40</v>
      </c>
    </row>
    <row r="130" spans="1:18" x14ac:dyDescent="0.3">
      <c r="A130" s="4">
        <v>129</v>
      </c>
      <c r="B130" s="5" t="s">
        <v>164</v>
      </c>
      <c r="C130" s="5">
        <v>49</v>
      </c>
      <c r="D130" s="12" t="str">
        <f t="shared" ref="D130:D193" si="6">IF(AND(C130&gt;=20,C130&lt;=30),"Young",IF(AND(C130&gt;30,C130&lt;=40),"Mid Age",IF(AND(C130&gt;40,C130&lt;=50),"Elder",IF(AND(C130&gt;50,C130&lt;=59),"Senior","Other"))))</f>
        <v>Elder</v>
      </c>
      <c r="E130" s="5" t="s">
        <v>23</v>
      </c>
      <c r="F130" s="5" t="s">
        <v>24</v>
      </c>
      <c r="G130" s="5" t="s">
        <v>46</v>
      </c>
      <c r="H130" s="5" t="s">
        <v>19</v>
      </c>
      <c r="I130" s="5">
        <v>9</v>
      </c>
      <c r="J130" s="12" t="str">
        <f t="shared" ref="J130:J193" si="7">IF(I130&lt;=2,"Beginner",IF(I130&lt;=5,"Junior",IF(I130&lt;=10,"Mid-level",IF(I130&lt;=15,"Senior","Expert"))))</f>
        <v>Mid-level</v>
      </c>
      <c r="K130" s="5">
        <v>1129</v>
      </c>
      <c r="L130" s="5">
        <v>5129</v>
      </c>
      <c r="M130" s="5">
        <v>42436</v>
      </c>
      <c r="N130" s="5" t="s">
        <v>20</v>
      </c>
      <c r="O130" s="5">
        <v>34</v>
      </c>
      <c r="P130" s="5">
        <v>1</v>
      </c>
      <c r="Q130" s="15" t="str">
        <f t="shared" ref="Q130:Q193" si="8">IF(P130=1,"Poor",IF(P130=2,"Average",IF(P130=3,"Good",IF(P130=4,"Excellent","Unknown"))))</f>
        <v>Poor</v>
      </c>
      <c r="R130" s="6" t="s">
        <v>40</v>
      </c>
    </row>
    <row r="131" spans="1:18" x14ac:dyDescent="0.3">
      <c r="A131" s="4">
        <v>130</v>
      </c>
      <c r="B131" s="5" t="s">
        <v>165</v>
      </c>
      <c r="C131" s="5">
        <v>56</v>
      </c>
      <c r="D131" s="12" t="str">
        <f t="shared" si="6"/>
        <v>Senior</v>
      </c>
      <c r="E131" s="5" t="s">
        <v>16</v>
      </c>
      <c r="F131" s="5" t="s">
        <v>45</v>
      </c>
      <c r="G131" s="5" t="s">
        <v>46</v>
      </c>
      <c r="H131" s="5" t="s">
        <v>26</v>
      </c>
      <c r="I131" s="5">
        <v>6</v>
      </c>
      <c r="J131" s="12" t="str">
        <f t="shared" si="7"/>
        <v>Mid-level</v>
      </c>
      <c r="K131" s="5">
        <v>1130</v>
      </c>
      <c r="L131" s="5">
        <v>5130</v>
      </c>
      <c r="M131" s="5">
        <v>62963</v>
      </c>
      <c r="N131" s="5" t="s">
        <v>20</v>
      </c>
      <c r="O131" s="5">
        <v>46</v>
      </c>
      <c r="P131" s="5">
        <v>3</v>
      </c>
      <c r="Q131" s="15" t="str">
        <f t="shared" si="8"/>
        <v>Good</v>
      </c>
      <c r="R131" s="6" t="s">
        <v>31</v>
      </c>
    </row>
    <row r="132" spans="1:18" x14ac:dyDescent="0.3">
      <c r="A132" s="4">
        <v>131</v>
      </c>
      <c r="B132" s="5" t="s">
        <v>166</v>
      </c>
      <c r="C132" s="5">
        <v>42</v>
      </c>
      <c r="D132" s="12" t="str">
        <f t="shared" si="6"/>
        <v>Elder</v>
      </c>
      <c r="E132" s="5" t="s">
        <v>23</v>
      </c>
      <c r="F132" s="5" t="s">
        <v>43</v>
      </c>
      <c r="G132" s="5" t="s">
        <v>18</v>
      </c>
      <c r="H132" s="5" t="s">
        <v>29</v>
      </c>
      <c r="I132" s="5">
        <v>12</v>
      </c>
      <c r="J132" s="12" t="str">
        <f t="shared" si="7"/>
        <v>Senior</v>
      </c>
      <c r="K132" s="5">
        <v>1131</v>
      </c>
      <c r="L132" s="5">
        <v>5131</v>
      </c>
      <c r="M132" s="5">
        <v>22096</v>
      </c>
      <c r="N132" s="5" t="s">
        <v>38</v>
      </c>
      <c r="O132" s="5">
        <v>78</v>
      </c>
      <c r="P132" s="5">
        <v>3</v>
      </c>
      <c r="Q132" s="15" t="str">
        <f t="shared" si="8"/>
        <v>Good</v>
      </c>
      <c r="R132" s="6" t="s">
        <v>31</v>
      </c>
    </row>
    <row r="133" spans="1:18" x14ac:dyDescent="0.3">
      <c r="A133" s="4">
        <v>132</v>
      </c>
      <c r="B133" s="5" t="s">
        <v>167</v>
      </c>
      <c r="C133" s="5">
        <v>58</v>
      </c>
      <c r="D133" s="12" t="str">
        <f t="shared" si="6"/>
        <v>Senior</v>
      </c>
      <c r="E133" s="5" t="s">
        <v>16</v>
      </c>
      <c r="F133" s="5" t="s">
        <v>24</v>
      </c>
      <c r="G133" s="5" t="s">
        <v>46</v>
      </c>
      <c r="H133" s="5" t="s">
        <v>29</v>
      </c>
      <c r="I133" s="5">
        <v>13</v>
      </c>
      <c r="J133" s="12" t="str">
        <f t="shared" si="7"/>
        <v>Senior</v>
      </c>
      <c r="K133" s="5">
        <v>1132</v>
      </c>
      <c r="L133" s="5">
        <v>5132</v>
      </c>
      <c r="M133" s="5">
        <v>45279</v>
      </c>
      <c r="N133" s="5" t="s">
        <v>27</v>
      </c>
      <c r="O133" s="5">
        <v>4</v>
      </c>
      <c r="P133" s="5">
        <v>2</v>
      </c>
      <c r="Q133" s="15" t="str">
        <f t="shared" si="8"/>
        <v>Average</v>
      </c>
      <c r="R133" s="6" t="s">
        <v>36</v>
      </c>
    </row>
    <row r="134" spans="1:18" x14ac:dyDescent="0.3">
      <c r="A134" s="4">
        <v>133</v>
      </c>
      <c r="B134" s="5" t="s">
        <v>168</v>
      </c>
      <c r="C134" s="5">
        <v>34</v>
      </c>
      <c r="D134" s="12" t="str">
        <f t="shared" si="6"/>
        <v>Mid Age</v>
      </c>
      <c r="E134" s="5" t="s">
        <v>16</v>
      </c>
      <c r="F134" s="5" t="s">
        <v>24</v>
      </c>
      <c r="G134" s="5" t="s">
        <v>25</v>
      </c>
      <c r="H134" s="5" t="s">
        <v>19</v>
      </c>
      <c r="I134" s="5">
        <v>3</v>
      </c>
      <c r="J134" s="12" t="str">
        <f t="shared" si="7"/>
        <v>Junior</v>
      </c>
      <c r="K134" s="5">
        <v>1133</v>
      </c>
      <c r="L134" s="5">
        <v>5133</v>
      </c>
      <c r="M134" s="5">
        <v>46201</v>
      </c>
      <c r="N134" s="5" t="s">
        <v>30</v>
      </c>
      <c r="O134" s="5">
        <v>30</v>
      </c>
      <c r="P134" s="5">
        <v>2</v>
      </c>
      <c r="Q134" s="15" t="str">
        <f t="shared" si="8"/>
        <v>Average</v>
      </c>
      <c r="R134" s="6" t="s">
        <v>36</v>
      </c>
    </row>
    <row r="135" spans="1:18" x14ac:dyDescent="0.3">
      <c r="A135" s="4">
        <v>134</v>
      </c>
      <c r="B135" s="5" t="s">
        <v>169</v>
      </c>
      <c r="C135" s="5">
        <v>48</v>
      </c>
      <c r="D135" s="12" t="str">
        <f t="shared" si="6"/>
        <v>Elder</v>
      </c>
      <c r="E135" s="5" t="s">
        <v>23</v>
      </c>
      <c r="F135" s="5" t="s">
        <v>17</v>
      </c>
      <c r="G135" s="5" t="s">
        <v>33</v>
      </c>
      <c r="H135" s="5" t="s">
        <v>26</v>
      </c>
      <c r="I135" s="5">
        <v>7</v>
      </c>
      <c r="J135" s="12" t="str">
        <f t="shared" si="7"/>
        <v>Mid-level</v>
      </c>
      <c r="K135" s="5">
        <v>1134</v>
      </c>
      <c r="L135" s="5">
        <v>5134</v>
      </c>
      <c r="M135" s="5">
        <v>39715</v>
      </c>
      <c r="N135" s="5" t="s">
        <v>30</v>
      </c>
      <c r="O135" s="5">
        <v>95</v>
      </c>
      <c r="P135" s="5">
        <v>1</v>
      </c>
      <c r="Q135" s="15" t="str">
        <f t="shared" si="8"/>
        <v>Poor</v>
      </c>
      <c r="R135" s="6" t="s">
        <v>31</v>
      </c>
    </row>
    <row r="136" spans="1:18" x14ac:dyDescent="0.3">
      <c r="A136" s="4">
        <v>135</v>
      </c>
      <c r="B136" s="5" t="s">
        <v>170</v>
      </c>
      <c r="C136" s="5">
        <v>55</v>
      </c>
      <c r="D136" s="12" t="str">
        <f t="shared" si="6"/>
        <v>Senior</v>
      </c>
      <c r="E136" s="5" t="s">
        <v>16</v>
      </c>
      <c r="F136" s="5" t="s">
        <v>45</v>
      </c>
      <c r="G136" s="5" t="s">
        <v>46</v>
      </c>
      <c r="H136" s="5" t="s">
        <v>29</v>
      </c>
      <c r="I136" s="5">
        <v>4</v>
      </c>
      <c r="J136" s="12" t="str">
        <f t="shared" si="7"/>
        <v>Junior</v>
      </c>
      <c r="K136" s="5">
        <v>1135</v>
      </c>
      <c r="L136" s="5">
        <v>5135</v>
      </c>
      <c r="M136" s="5">
        <v>49309</v>
      </c>
      <c r="N136" s="5" t="s">
        <v>30</v>
      </c>
      <c r="O136" s="5">
        <v>75</v>
      </c>
      <c r="P136" s="5">
        <v>2</v>
      </c>
      <c r="Q136" s="15" t="str">
        <f t="shared" si="8"/>
        <v>Average</v>
      </c>
      <c r="R136" s="6" t="s">
        <v>36</v>
      </c>
    </row>
    <row r="137" spans="1:18" x14ac:dyDescent="0.3">
      <c r="A137" s="4">
        <v>136</v>
      </c>
      <c r="B137" s="5" t="s">
        <v>171</v>
      </c>
      <c r="C137" s="5">
        <v>32</v>
      </c>
      <c r="D137" s="12" t="str">
        <f t="shared" si="6"/>
        <v>Mid Age</v>
      </c>
      <c r="E137" s="5" t="s">
        <v>23</v>
      </c>
      <c r="F137" s="5" t="s">
        <v>17</v>
      </c>
      <c r="G137" s="5" t="s">
        <v>25</v>
      </c>
      <c r="H137" s="5" t="s">
        <v>26</v>
      </c>
      <c r="I137" s="5">
        <v>0</v>
      </c>
      <c r="J137" s="12" t="str">
        <f t="shared" si="7"/>
        <v>Beginner</v>
      </c>
      <c r="K137" s="5">
        <v>1136</v>
      </c>
      <c r="L137" s="5">
        <v>5136</v>
      </c>
      <c r="M137" s="5">
        <v>35078</v>
      </c>
      <c r="N137" s="5" t="s">
        <v>20</v>
      </c>
      <c r="O137" s="5">
        <v>99</v>
      </c>
      <c r="P137" s="5">
        <v>1</v>
      </c>
      <c r="Q137" s="15" t="str">
        <f t="shared" si="8"/>
        <v>Poor</v>
      </c>
      <c r="R137" s="6" t="s">
        <v>31</v>
      </c>
    </row>
    <row r="138" spans="1:18" x14ac:dyDescent="0.3">
      <c r="A138" s="4">
        <v>137</v>
      </c>
      <c r="B138" s="5" t="s">
        <v>172</v>
      </c>
      <c r="C138" s="5">
        <v>51</v>
      </c>
      <c r="D138" s="12" t="str">
        <f t="shared" si="6"/>
        <v>Senior</v>
      </c>
      <c r="E138" s="5" t="s">
        <v>16</v>
      </c>
      <c r="F138" s="5" t="s">
        <v>43</v>
      </c>
      <c r="G138" s="5" t="s">
        <v>46</v>
      </c>
      <c r="H138" s="5" t="s">
        <v>29</v>
      </c>
      <c r="I138" s="5">
        <v>3</v>
      </c>
      <c r="J138" s="12" t="str">
        <f t="shared" si="7"/>
        <v>Junior</v>
      </c>
      <c r="K138" s="5">
        <v>1137</v>
      </c>
      <c r="L138" s="5">
        <v>5137</v>
      </c>
      <c r="M138" s="5">
        <v>76614</v>
      </c>
      <c r="N138" s="5" t="s">
        <v>30</v>
      </c>
      <c r="O138" s="5">
        <v>72</v>
      </c>
      <c r="P138" s="5">
        <v>4</v>
      </c>
      <c r="Q138" s="15" t="str">
        <f t="shared" si="8"/>
        <v>Excellent</v>
      </c>
      <c r="R138" s="6" t="s">
        <v>40</v>
      </c>
    </row>
    <row r="139" spans="1:18" x14ac:dyDescent="0.3">
      <c r="A139" s="4">
        <v>138</v>
      </c>
      <c r="B139" s="5" t="s">
        <v>173</v>
      </c>
      <c r="C139" s="5">
        <v>26</v>
      </c>
      <c r="D139" s="12" t="str">
        <f t="shared" si="6"/>
        <v>Young</v>
      </c>
      <c r="E139" s="5" t="s">
        <v>16</v>
      </c>
      <c r="F139" s="5" t="s">
        <v>24</v>
      </c>
      <c r="G139" s="5" t="s">
        <v>33</v>
      </c>
      <c r="H139" s="5" t="s">
        <v>26</v>
      </c>
      <c r="I139" s="5">
        <v>2</v>
      </c>
      <c r="J139" s="12" t="str">
        <f t="shared" si="7"/>
        <v>Beginner</v>
      </c>
      <c r="K139" s="5">
        <v>1138</v>
      </c>
      <c r="L139" s="5">
        <v>5138</v>
      </c>
      <c r="M139" s="5">
        <v>25105</v>
      </c>
      <c r="N139" s="5" t="s">
        <v>20</v>
      </c>
      <c r="O139" s="5">
        <v>3</v>
      </c>
      <c r="P139" s="5">
        <v>1</v>
      </c>
      <c r="Q139" s="15" t="str">
        <f t="shared" si="8"/>
        <v>Poor</v>
      </c>
      <c r="R139" s="6" t="s">
        <v>31</v>
      </c>
    </row>
    <row r="140" spans="1:18" x14ac:dyDescent="0.3">
      <c r="A140" s="4">
        <v>139</v>
      </c>
      <c r="B140" s="5" t="s">
        <v>174</v>
      </c>
      <c r="C140" s="5">
        <v>41</v>
      </c>
      <c r="D140" s="12" t="str">
        <f t="shared" si="6"/>
        <v>Elder</v>
      </c>
      <c r="E140" s="5" t="s">
        <v>16</v>
      </c>
      <c r="F140" s="5" t="s">
        <v>24</v>
      </c>
      <c r="G140" s="5" t="s">
        <v>25</v>
      </c>
      <c r="H140" s="5" t="s">
        <v>19</v>
      </c>
      <c r="I140" s="5">
        <v>8</v>
      </c>
      <c r="J140" s="12" t="str">
        <f t="shared" si="7"/>
        <v>Mid-level</v>
      </c>
      <c r="K140" s="5">
        <v>1139</v>
      </c>
      <c r="L140" s="5">
        <v>5139</v>
      </c>
      <c r="M140" s="5">
        <v>114848</v>
      </c>
      <c r="N140" s="5" t="s">
        <v>20</v>
      </c>
      <c r="O140" s="5">
        <v>14</v>
      </c>
      <c r="P140" s="5">
        <v>4</v>
      </c>
      <c r="Q140" s="15" t="str">
        <f t="shared" si="8"/>
        <v>Excellent</v>
      </c>
      <c r="R140" s="6" t="s">
        <v>31</v>
      </c>
    </row>
    <row r="141" spans="1:18" x14ac:dyDescent="0.3">
      <c r="A141" s="4">
        <v>140</v>
      </c>
      <c r="B141" s="5" t="s">
        <v>175</v>
      </c>
      <c r="C141" s="5">
        <v>47</v>
      </c>
      <c r="D141" s="12" t="str">
        <f t="shared" si="6"/>
        <v>Elder</v>
      </c>
      <c r="E141" s="5" t="s">
        <v>23</v>
      </c>
      <c r="F141" s="5" t="s">
        <v>24</v>
      </c>
      <c r="G141" s="5" t="s">
        <v>33</v>
      </c>
      <c r="H141" s="5" t="s">
        <v>29</v>
      </c>
      <c r="I141" s="5">
        <v>7</v>
      </c>
      <c r="J141" s="12" t="str">
        <f t="shared" si="7"/>
        <v>Mid-level</v>
      </c>
      <c r="K141" s="5">
        <v>1140</v>
      </c>
      <c r="L141" s="5">
        <v>5140</v>
      </c>
      <c r="M141" s="5">
        <v>22839</v>
      </c>
      <c r="N141" s="5" t="s">
        <v>38</v>
      </c>
      <c r="O141" s="5">
        <v>60</v>
      </c>
      <c r="P141" s="5">
        <v>1</v>
      </c>
      <c r="Q141" s="15" t="str">
        <f t="shared" si="8"/>
        <v>Poor</v>
      </c>
      <c r="R141" s="6" t="s">
        <v>21</v>
      </c>
    </row>
    <row r="142" spans="1:18" x14ac:dyDescent="0.3">
      <c r="A142" s="4">
        <v>141</v>
      </c>
      <c r="B142" s="5" t="s">
        <v>176</v>
      </c>
      <c r="C142" s="5">
        <v>21</v>
      </c>
      <c r="D142" s="12" t="str">
        <f t="shared" si="6"/>
        <v>Young</v>
      </c>
      <c r="E142" s="5" t="s">
        <v>16</v>
      </c>
      <c r="F142" s="5" t="s">
        <v>43</v>
      </c>
      <c r="G142" s="5" t="s">
        <v>33</v>
      </c>
      <c r="H142" s="5" t="s">
        <v>29</v>
      </c>
      <c r="I142" s="5">
        <v>0</v>
      </c>
      <c r="J142" s="12" t="str">
        <f t="shared" si="7"/>
        <v>Beginner</v>
      </c>
      <c r="K142" s="5">
        <v>1141</v>
      </c>
      <c r="L142" s="5">
        <v>5141</v>
      </c>
      <c r="M142" s="5">
        <v>88920</v>
      </c>
      <c r="N142" s="5" t="s">
        <v>30</v>
      </c>
      <c r="O142" s="5">
        <v>77</v>
      </c>
      <c r="P142" s="5">
        <v>3</v>
      </c>
      <c r="Q142" s="15" t="str">
        <f t="shared" si="8"/>
        <v>Good</v>
      </c>
      <c r="R142" s="6" t="s">
        <v>31</v>
      </c>
    </row>
    <row r="143" spans="1:18" x14ac:dyDescent="0.3">
      <c r="A143" s="4">
        <v>142</v>
      </c>
      <c r="B143" s="5" t="s">
        <v>177</v>
      </c>
      <c r="C143" s="5">
        <v>25</v>
      </c>
      <c r="D143" s="12" t="str">
        <f t="shared" si="6"/>
        <v>Young</v>
      </c>
      <c r="E143" s="5" t="s">
        <v>16</v>
      </c>
      <c r="F143" s="5" t="s">
        <v>43</v>
      </c>
      <c r="G143" s="5" t="s">
        <v>25</v>
      </c>
      <c r="H143" s="5" t="s">
        <v>26</v>
      </c>
      <c r="I143" s="5">
        <v>5</v>
      </c>
      <c r="J143" s="12" t="str">
        <f t="shared" si="7"/>
        <v>Junior</v>
      </c>
      <c r="K143" s="5">
        <v>1142</v>
      </c>
      <c r="L143" s="5">
        <v>5142</v>
      </c>
      <c r="M143" s="5">
        <v>63619</v>
      </c>
      <c r="N143" s="5" t="s">
        <v>30</v>
      </c>
      <c r="O143" s="5">
        <v>45</v>
      </c>
      <c r="P143" s="5">
        <v>2</v>
      </c>
      <c r="Q143" s="15" t="str">
        <f t="shared" si="8"/>
        <v>Average</v>
      </c>
      <c r="R143" s="6" t="s">
        <v>31</v>
      </c>
    </row>
    <row r="144" spans="1:18" x14ac:dyDescent="0.3">
      <c r="A144" s="4">
        <v>143</v>
      </c>
      <c r="B144" s="5" t="s">
        <v>178</v>
      </c>
      <c r="C144" s="5">
        <v>47</v>
      </c>
      <c r="D144" s="12" t="str">
        <f t="shared" si="6"/>
        <v>Elder</v>
      </c>
      <c r="E144" s="5" t="s">
        <v>16</v>
      </c>
      <c r="F144" s="5" t="s">
        <v>17</v>
      </c>
      <c r="G144" s="5" t="s">
        <v>25</v>
      </c>
      <c r="H144" s="5" t="s">
        <v>26</v>
      </c>
      <c r="I144" s="5">
        <v>8</v>
      </c>
      <c r="J144" s="12" t="str">
        <f t="shared" si="7"/>
        <v>Mid-level</v>
      </c>
      <c r="K144" s="5">
        <v>1143</v>
      </c>
      <c r="L144" s="5">
        <v>5143</v>
      </c>
      <c r="M144" s="5">
        <v>62821</v>
      </c>
      <c r="N144" s="5" t="s">
        <v>27</v>
      </c>
      <c r="O144" s="5">
        <v>96</v>
      </c>
      <c r="P144" s="5">
        <v>4</v>
      </c>
      <c r="Q144" s="15" t="str">
        <f t="shared" si="8"/>
        <v>Excellent</v>
      </c>
      <c r="R144" s="6" t="s">
        <v>21</v>
      </c>
    </row>
    <row r="145" spans="1:18" x14ac:dyDescent="0.3">
      <c r="A145" s="4">
        <v>144</v>
      </c>
      <c r="B145" s="5" t="s">
        <v>179</v>
      </c>
      <c r="C145" s="5">
        <v>47</v>
      </c>
      <c r="D145" s="12" t="str">
        <f t="shared" si="6"/>
        <v>Elder</v>
      </c>
      <c r="E145" s="5" t="s">
        <v>16</v>
      </c>
      <c r="F145" s="5" t="s">
        <v>17</v>
      </c>
      <c r="G145" s="5" t="s">
        <v>25</v>
      </c>
      <c r="H145" s="5" t="s">
        <v>29</v>
      </c>
      <c r="I145" s="5">
        <v>6</v>
      </c>
      <c r="J145" s="12" t="str">
        <f t="shared" si="7"/>
        <v>Mid-level</v>
      </c>
      <c r="K145" s="5">
        <v>1144</v>
      </c>
      <c r="L145" s="5">
        <v>5144</v>
      </c>
      <c r="M145" s="5">
        <v>33493</v>
      </c>
      <c r="N145" s="5" t="s">
        <v>38</v>
      </c>
      <c r="O145" s="5">
        <v>34</v>
      </c>
      <c r="P145" s="5">
        <v>1</v>
      </c>
      <c r="Q145" s="15" t="str">
        <f t="shared" si="8"/>
        <v>Poor</v>
      </c>
      <c r="R145" s="6" t="s">
        <v>36</v>
      </c>
    </row>
    <row r="146" spans="1:18" x14ac:dyDescent="0.3">
      <c r="A146" s="4">
        <v>145</v>
      </c>
      <c r="B146" s="5" t="s">
        <v>180</v>
      </c>
      <c r="C146" s="5">
        <v>39</v>
      </c>
      <c r="D146" s="12" t="str">
        <f t="shared" si="6"/>
        <v>Mid Age</v>
      </c>
      <c r="E146" s="5" t="s">
        <v>23</v>
      </c>
      <c r="F146" s="5" t="s">
        <v>17</v>
      </c>
      <c r="G146" s="5" t="s">
        <v>18</v>
      </c>
      <c r="H146" s="5" t="s">
        <v>19</v>
      </c>
      <c r="I146" s="5">
        <v>3</v>
      </c>
      <c r="J146" s="12" t="str">
        <f t="shared" si="7"/>
        <v>Junior</v>
      </c>
      <c r="K146" s="5">
        <v>1145</v>
      </c>
      <c r="L146" s="5">
        <v>5145</v>
      </c>
      <c r="M146" s="5">
        <v>37069</v>
      </c>
      <c r="N146" s="5" t="s">
        <v>27</v>
      </c>
      <c r="O146" s="5">
        <v>45</v>
      </c>
      <c r="P146" s="5">
        <v>2</v>
      </c>
      <c r="Q146" s="15" t="str">
        <f t="shared" si="8"/>
        <v>Average</v>
      </c>
      <c r="R146" s="6" t="s">
        <v>21</v>
      </c>
    </row>
    <row r="147" spans="1:18" x14ac:dyDescent="0.3">
      <c r="A147" s="4">
        <v>146</v>
      </c>
      <c r="B147" s="5" t="s">
        <v>181</v>
      </c>
      <c r="C147" s="5">
        <v>49</v>
      </c>
      <c r="D147" s="12" t="str">
        <f t="shared" si="6"/>
        <v>Elder</v>
      </c>
      <c r="E147" s="5" t="s">
        <v>23</v>
      </c>
      <c r="F147" s="5" t="s">
        <v>45</v>
      </c>
      <c r="G147" s="5" t="s">
        <v>25</v>
      </c>
      <c r="H147" s="5" t="s">
        <v>26</v>
      </c>
      <c r="I147" s="5">
        <v>12</v>
      </c>
      <c r="J147" s="12" t="str">
        <f t="shared" si="7"/>
        <v>Senior</v>
      </c>
      <c r="K147" s="5">
        <v>1146</v>
      </c>
      <c r="L147" s="5">
        <v>5146</v>
      </c>
      <c r="M147" s="5">
        <v>27531</v>
      </c>
      <c r="N147" s="5" t="s">
        <v>38</v>
      </c>
      <c r="O147" s="5">
        <v>61</v>
      </c>
      <c r="P147" s="5">
        <v>1</v>
      </c>
      <c r="Q147" s="15" t="str">
        <f t="shared" si="8"/>
        <v>Poor</v>
      </c>
      <c r="R147" s="6" t="s">
        <v>40</v>
      </c>
    </row>
    <row r="148" spans="1:18" x14ac:dyDescent="0.3">
      <c r="A148" s="4">
        <v>147</v>
      </c>
      <c r="B148" s="5" t="s">
        <v>182</v>
      </c>
      <c r="C148" s="5">
        <v>30</v>
      </c>
      <c r="D148" s="12" t="str">
        <f t="shared" si="6"/>
        <v>Young</v>
      </c>
      <c r="E148" s="5" t="s">
        <v>16</v>
      </c>
      <c r="F148" s="5" t="s">
        <v>24</v>
      </c>
      <c r="G148" s="5" t="s">
        <v>25</v>
      </c>
      <c r="H148" s="5" t="s">
        <v>26</v>
      </c>
      <c r="I148" s="5">
        <v>16</v>
      </c>
      <c r="J148" s="12" t="str">
        <f t="shared" si="7"/>
        <v>Expert</v>
      </c>
      <c r="K148" s="5">
        <v>1147</v>
      </c>
      <c r="L148" s="5">
        <v>5147</v>
      </c>
      <c r="M148" s="5">
        <v>57051</v>
      </c>
      <c r="N148" s="5" t="s">
        <v>30</v>
      </c>
      <c r="O148" s="5">
        <v>83</v>
      </c>
      <c r="P148" s="5">
        <v>2</v>
      </c>
      <c r="Q148" s="15" t="str">
        <f t="shared" si="8"/>
        <v>Average</v>
      </c>
      <c r="R148" s="6" t="s">
        <v>21</v>
      </c>
    </row>
    <row r="149" spans="1:18" x14ac:dyDescent="0.3">
      <c r="A149" s="4">
        <v>148</v>
      </c>
      <c r="B149" s="5" t="s">
        <v>183</v>
      </c>
      <c r="C149" s="5">
        <v>47</v>
      </c>
      <c r="D149" s="12" t="str">
        <f t="shared" si="6"/>
        <v>Elder</v>
      </c>
      <c r="E149" s="5" t="s">
        <v>23</v>
      </c>
      <c r="F149" s="5" t="s">
        <v>24</v>
      </c>
      <c r="G149" s="5" t="s">
        <v>25</v>
      </c>
      <c r="H149" s="5" t="s">
        <v>26</v>
      </c>
      <c r="I149" s="5">
        <v>1</v>
      </c>
      <c r="J149" s="12" t="str">
        <f t="shared" si="7"/>
        <v>Beginner</v>
      </c>
      <c r="K149" s="5">
        <v>1148</v>
      </c>
      <c r="L149" s="5">
        <v>5148</v>
      </c>
      <c r="M149" s="5">
        <v>27736</v>
      </c>
      <c r="N149" s="5" t="s">
        <v>20</v>
      </c>
      <c r="O149" s="5">
        <v>16</v>
      </c>
      <c r="P149" s="5">
        <v>2</v>
      </c>
      <c r="Q149" s="15" t="str">
        <f t="shared" si="8"/>
        <v>Average</v>
      </c>
      <c r="R149" s="6" t="s">
        <v>40</v>
      </c>
    </row>
    <row r="150" spans="1:18" x14ac:dyDescent="0.3">
      <c r="A150" s="4">
        <v>149</v>
      </c>
      <c r="B150" s="5" t="s">
        <v>184</v>
      </c>
      <c r="C150" s="5">
        <v>44</v>
      </c>
      <c r="D150" s="12" t="str">
        <f t="shared" si="6"/>
        <v>Elder</v>
      </c>
      <c r="E150" s="5" t="s">
        <v>16</v>
      </c>
      <c r="F150" s="5" t="s">
        <v>17</v>
      </c>
      <c r="G150" s="5" t="s">
        <v>25</v>
      </c>
      <c r="H150" s="5" t="s">
        <v>29</v>
      </c>
      <c r="I150" s="5">
        <v>4</v>
      </c>
      <c r="J150" s="12" t="str">
        <f t="shared" si="7"/>
        <v>Junior</v>
      </c>
      <c r="K150" s="5">
        <v>1149</v>
      </c>
      <c r="L150" s="5">
        <v>5149</v>
      </c>
      <c r="M150" s="5">
        <v>27710</v>
      </c>
      <c r="N150" s="5" t="s">
        <v>20</v>
      </c>
      <c r="O150" s="5">
        <v>66</v>
      </c>
      <c r="P150" s="5">
        <v>1</v>
      </c>
      <c r="Q150" s="15" t="str">
        <f t="shared" si="8"/>
        <v>Poor</v>
      </c>
      <c r="R150" s="6" t="s">
        <v>36</v>
      </c>
    </row>
    <row r="151" spans="1:18" x14ac:dyDescent="0.3">
      <c r="A151" s="4">
        <v>150</v>
      </c>
      <c r="B151" s="5" t="s">
        <v>185</v>
      </c>
      <c r="C151" s="5">
        <v>58</v>
      </c>
      <c r="D151" s="12" t="str">
        <f t="shared" si="6"/>
        <v>Senior</v>
      </c>
      <c r="E151" s="5" t="s">
        <v>16</v>
      </c>
      <c r="F151" s="5" t="s">
        <v>24</v>
      </c>
      <c r="G151" s="5" t="s">
        <v>46</v>
      </c>
      <c r="H151" s="5" t="s">
        <v>29</v>
      </c>
      <c r="I151" s="5">
        <v>11</v>
      </c>
      <c r="J151" s="12" t="str">
        <f t="shared" si="7"/>
        <v>Senior</v>
      </c>
      <c r="K151" s="5">
        <v>1150</v>
      </c>
      <c r="L151" s="5">
        <v>5150</v>
      </c>
      <c r="M151" s="5">
        <v>87155</v>
      </c>
      <c r="N151" s="5" t="s">
        <v>20</v>
      </c>
      <c r="O151" s="5">
        <v>40</v>
      </c>
      <c r="P151" s="5">
        <v>4</v>
      </c>
      <c r="Q151" s="15" t="str">
        <f t="shared" si="8"/>
        <v>Excellent</v>
      </c>
      <c r="R151" s="6" t="s">
        <v>21</v>
      </c>
    </row>
    <row r="152" spans="1:18" x14ac:dyDescent="0.3">
      <c r="A152" s="4">
        <v>151</v>
      </c>
      <c r="B152" s="5" t="s">
        <v>186</v>
      </c>
      <c r="C152" s="5">
        <v>52</v>
      </c>
      <c r="D152" s="12" t="str">
        <f t="shared" si="6"/>
        <v>Senior</v>
      </c>
      <c r="E152" s="5" t="s">
        <v>16</v>
      </c>
      <c r="F152" s="5" t="s">
        <v>17</v>
      </c>
      <c r="G152" s="5" t="s">
        <v>18</v>
      </c>
      <c r="H152" s="5" t="s">
        <v>29</v>
      </c>
      <c r="I152" s="5">
        <v>7</v>
      </c>
      <c r="J152" s="12" t="str">
        <f t="shared" si="7"/>
        <v>Mid-level</v>
      </c>
      <c r="K152" s="5">
        <v>1151</v>
      </c>
      <c r="L152" s="5">
        <v>5151</v>
      </c>
      <c r="M152" s="5">
        <v>33975</v>
      </c>
      <c r="N152" s="5" t="s">
        <v>20</v>
      </c>
      <c r="O152" s="5">
        <v>17</v>
      </c>
      <c r="P152" s="5">
        <v>4</v>
      </c>
      <c r="Q152" s="15" t="str">
        <f t="shared" si="8"/>
        <v>Excellent</v>
      </c>
      <c r="R152" s="6" t="s">
        <v>21</v>
      </c>
    </row>
    <row r="153" spans="1:18" x14ac:dyDescent="0.3">
      <c r="A153" s="4">
        <v>152</v>
      </c>
      <c r="B153" s="5" t="s">
        <v>187</v>
      </c>
      <c r="C153" s="5">
        <v>20</v>
      </c>
      <c r="D153" s="12" t="str">
        <f t="shared" si="6"/>
        <v>Young</v>
      </c>
      <c r="E153" s="5" t="s">
        <v>23</v>
      </c>
      <c r="F153" s="5" t="s">
        <v>45</v>
      </c>
      <c r="G153" s="5" t="s">
        <v>33</v>
      </c>
      <c r="H153" s="5" t="s">
        <v>29</v>
      </c>
      <c r="I153" s="5">
        <v>5</v>
      </c>
      <c r="J153" s="12" t="str">
        <f t="shared" si="7"/>
        <v>Junior</v>
      </c>
      <c r="K153" s="5">
        <v>1152</v>
      </c>
      <c r="L153" s="5">
        <v>5152</v>
      </c>
      <c r="M153" s="5">
        <v>82424</v>
      </c>
      <c r="N153" s="5" t="s">
        <v>20</v>
      </c>
      <c r="O153" s="5">
        <v>34</v>
      </c>
      <c r="P153" s="5">
        <v>3</v>
      </c>
      <c r="Q153" s="15" t="str">
        <f t="shared" si="8"/>
        <v>Good</v>
      </c>
      <c r="R153" s="6" t="s">
        <v>36</v>
      </c>
    </row>
    <row r="154" spans="1:18" x14ac:dyDescent="0.3">
      <c r="A154" s="4">
        <v>153</v>
      </c>
      <c r="B154" s="5" t="s">
        <v>188</v>
      </c>
      <c r="C154" s="5">
        <v>46</v>
      </c>
      <c r="D154" s="12" t="str">
        <f t="shared" si="6"/>
        <v>Elder</v>
      </c>
      <c r="E154" s="5" t="s">
        <v>23</v>
      </c>
      <c r="F154" s="5" t="s">
        <v>45</v>
      </c>
      <c r="G154" s="5" t="s">
        <v>25</v>
      </c>
      <c r="H154" s="5" t="s">
        <v>19</v>
      </c>
      <c r="I154" s="5">
        <v>7</v>
      </c>
      <c r="J154" s="12" t="str">
        <f t="shared" si="7"/>
        <v>Mid-level</v>
      </c>
      <c r="K154" s="5">
        <v>1153</v>
      </c>
      <c r="L154" s="5">
        <v>5153</v>
      </c>
      <c r="M154" s="5">
        <v>65603</v>
      </c>
      <c r="N154" s="5" t="s">
        <v>27</v>
      </c>
      <c r="O154" s="5">
        <v>16</v>
      </c>
      <c r="P154" s="5">
        <v>2</v>
      </c>
      <c r="Q154" s="15" t="str">
        <f t="shared" si="8"/>
        <v>Average</v>
      </c>
      <c r="R154" s="6" t="s">
        <v>40</v>
      </c>
    </row>
    <row r="155" spans="1:18" x14ac:dyDescent="0.3">
      <c r="A155" s="4">
        <v>154</v>
      </c>
      <c r="B155" s="5" t="s">
        <v>189</v>
      </c>
      <c r="C155" s="5">
        <v>32</v>
      </c>
      <c r="D155" s="12" t="str">
        <f t="shared" si="6"/>
        <v>Mid Age</v>
      </c>
      <c r="E155" s="5" t="s">
        <v>23</v>
      </c>
      <c r="F155" s="5" t="s">
        <v>43</v>
      </c>
      <c r="G155" s="5" t="s">
        <v>46</v>
      </c>
      <c r="H155" s="5" t="s">
        <v>19</v>
      </c>
      <c r="I155" s="5">
        <v>17</v>
      </c>
      <c r="J155" s="12" t="str">
        <f t="shared" si="7"/>
        <v>Expert</v>
      </c>
      <c r="K155" s="5">
        <v>1154</v>
      </c>
      <c r="L155" s="5">
        <v>5154</v>
      </c>
      <c r="M155" s="5">
        <v>43252</v>
      </c>
      <c r="N155" s="5" t="s">
        <v>38</v>
      </c>
      <c r="O155" s="5">
        <v>60</v>
      </c>
      <c r="P155" s="5">
        <v>3</v>
      </c>
      <c r="Q155" s="15" t="str">
        <f t="shared" si="8"/>
        <v>Good</v>
      </c>
      <c r="R155" s="6" t="s">
        <v>21</v>
      </c>
    </row>
    <row r="156" spans="1:18" x14ac:dyDescent="0.3">
      <c r="A156" s="4">
        <v>155</v>
      </c>
      <c r="B156" s="5" t="s">
        <v>190</v>
      </c>
      <c r="C156" s="5">
        <v>22</v>
      </c>
      <c r="D156" s="12" t="str">
        <f t="shared" si="6"/>
        <v>Young</v>
      </c>
      <c r="E156" s="5" t="s">
        <v>23</v>
      </c>
      <c r="F156" s="5" t="s">
        <v>45</v>
      </c>
      <c r="G156" s="5" t="s">
        <v>46</v>
      </c>
      <c r="H156" s="5" t="s">
        <v>29</v>
      </c>
      <c r="I156" s="5">
        <v>2</v>
      </c>
      <c r="J156" s="12" t="str">
        <f t="shared" si="7"/>
        <v>Beginner</v>
      </c>
      <c r="K156" s="5">
        <v>1155</v>
      </c>
      <c r="L156" s="5">
        <v>5155</v>
      </c>
      <c r="M156" s="5">
        <v>100797</v>
      </c>
      <c r="N156" s="5" t="s">
        <v>30</v>
      </c>
      <c r="O156" s="5">
        <v>66</v>
      </c>
      <c r="P156" s="5">
        <v>3</v>
      </c>
      <c r="Q156" s="15" t="str">
        <f t="shared" si="8"/>
        <v>Good</v>
      </c>
      <c r="R156" s="6" t="s">
        <v>40</v>
      </c>
    </row>
    <row r="157" spans="1:18" x14ac:dyDescent="0.3">
      <c r="A157" s="4">
        <v>156</v>
      </c>
      <c r="B157" s="5" t="s">
        <v>191</v>
      </c>
      <c r="C157" s="5">
        <v>58</v>
      </c>
      <c r="D157" s="12" t="str">
        <f t="shared" si="6"/>
        <v>Senior</v>
      </c>
      <c r="E157" s="5" t="s">
        <v>23</v>
      </c>
      <c r="F157" s="5" t="s">
        <v>17</v>
      </c>
      <c r="G157" s="5" t="s">
        <v>46</v>
      </c>
      <c r="H157" s="5" t="s">
        <v>19</v>
      </c>
      <c r="I157" s="5">
        <v>11</v>
      </c>
      <c r="J157" s="12" t="str">
        <f t="shared" si="7"/>
        <v>Senior</v>
      </c>
      <c r="K157" s="5">
        <v>1156</v>
      </c>
      <c r="L157" s="5">
        <v>5156</v>
      </c>
      <c r="M157" s="5">
        <v>21431</v>
      </c>
      <c r="N157" s="5" t="s">
        <v>27</v>
      </c>
      <c r="O157" s="5">
        <v>66</v>
      </c>
      <c r="P157" s="5">
        <v>1</v>
      </c>
      <c r="Q157" s="15" t="str">
        <f t="shared" si="8"/>
        <v>Poor</v>
      </c>
      <c r="R157" s="6" t="s">
        <v>21</v>
      </c>
    </row>
    <row r="158" spans="1:18" x14ac:dyDescent="0.3">
      <c r="A158" s="4">
        <v>157</v>
      </c>
      <c r="B158" s="5" t="s">
        <v>192</v>
      </c>
      <c r="C158" s="5">
        <v>25</v>
      </c>
      <c r="D158" s="12" t="str">
        <f t="shared" si="6"/>
        <v>Young</v>
      </c>
      <c r="E158" s="5" t="s">
        <v>23</v>
      </c>
      <c r="F158" s="5" t="s">
        <v>45</v>
      </c>
      <c r="G158" s="5" t="s">
        <v>33</v>
      </c>
      <c r="H158" s="5" t="s">
        <v>26</v>
      </c>
      <c r="I158" s="5">
        <v>2</v>
      </c>
      <c r="J158" s="12" t="str">
        <f t="shared" si="7"/>
        <v>Beginner</v>
      </c>
      <c r="K158" s="5">
        <v>1157</v>
      </c>
      <c r="L158" s="5">
        <v>5157</v>
      </c>
      <c r="M158" s="5">
        <v>94603</v>
      </c>
      <c r="N158" s="5" t="s">
        <v>38</v>
      </c>
      <c r="O158" s="5">
        <v>90</v>
      </c>
      <c r="P158" s="5">
        <v>1</v>
      </c>
      <c r="Q158" s="15" t="str">
        <f t="shared" si="8"/>
        <v>Poor</v>
      </c>
      <c r="R158" s="6" t="s">
        <v>31</v>
      </c>
    </row>
    <row r="159" spans="1:18" x14ac:dyDescent="0.3">
      <c r="A159" s="4">
        <v>158</v>
      </c>
      <c r="B159" s="5" t="s">
        <v>193</v>
      </c>
      <c r="C159" s="5">
        <v>27</v>
      </c>
      <c r="D159" s="12" t="str">
        <f t="shared" si="6"/>
        <v>Young</v>
      </c>
      <c r="E159" s="5" t="s">
        <v>23</v>
      </c>
      <c r="F159" s="5" t="s">
        <v>43</v>
      </c>
      <c r="G159" s="5" t="s">
        <v>25</v>
      </c>
      <c r="H159" s="5" t="s">
        <v>26</v>
      </c>
      <c r="I159" s="5">
        <v>5</v>
      </c>
      <c r="J159" s="12" t="str">
        <f t="shared" si="7"/>
        <v>Junior</v>
      </c>
      <c r="K159" s="5">
        <v>1158</v>
      </c>
      <c r="L159" s="5">
        <v>5158</v>
      </c>
      <c r="M159" s="5">
        <v>57481</v>
      </c>
      <c r="N159" s="5" t="s">
        <v>20</v>
      </c>
      <c r="O159" s="5">
        <v>13</v>
      </c>
      <c r="P159" s="5">
        <v>1</v>
      </c>
      <c r="Q159" s="15" t="str">
        <f t="shared" si="8"/>
        <v>Poor</v>
      </c>
      <c r="R159" s="6" t="s">
        <v>21</v>
      </c>
    </row>
    <row r="160" spans="1:18" x14ac:dyDescent="0.3">
      <c r="A160" s="4">
        <v>159</v>
      </c>
      <c r="B160" s="5" t="s">
        <v>194</v>
      </c>
      <c r="C160" s="5">
        <v>46</v>
      </c>
      <c r="D160" s="12" t="str">
        <f t="shared" si="6"/>
        <v>Elder</v>
      </c>
      <c r="E160" s="5" t="s">
        <v>23</v>
      </c>
      <c r="F160" s="5" t="s">
        <v>24</v>
      </c>
      <c r="G160" s="5" t="s">
        <v>18</v>
      </c>
      <c r="H160" s="5" t="s">
        <v>26</v>
      </c>
      <c r="I160" s="5">
        <v>1</v>
      </c>
      <c r="J160" s="12" t="str">
        <f t="shared" si="7"/>
        <v>Beginner</v>
      </c>
      <c r="K160" s="5">
        <v>1159</v>
      </c>
      <c r="L160" s="5">
        <v>5159</v>
      </c>
      <c r="M160" s="5">
        <v>112573</v>
      </c>
      <c r="N160" s="5" t="s">
        <v>38</v>
      </c>
      <c r="O160" s="5">
        <v>56</v>
      </c>
      <c r="P160" s="5">
        <v>2</v>
      </c>
      <c r="Q160" s="15" t="str">
        <f t="shared" si="8"/>
        <v>Average</v>
      </c>
      <c r="R160" s="6" t="s">
        <v>36</v>
      </c>
    </row>
    <row r="161" spans="1:18" x14ac:dyDescent="0.3">
      <c r="A161" s="4">
        <v>160</v>
      </c>
      <c r="B161" s="5" t="s">
        <v>195</v>
      </c>
      <c r="C161" s="5">
        <v>28</v>
      </c>
      <c r="D161" s="12" t="str">
        <f t="shared" si="6"/>
        <v>Young</v>
      </c>
      <c r="E161" s="5" t="s">
        <v>23</v>
      </c>
      <c r="F161" s="5" t="s">
        <v>17</v>
      </c>
      <c r="G161" s="5" t="s">
        <v>18</v>
      </c>
      <c r="H161" s="5" t="s">
        <v>29</v>
      </c>
      <c r="I161" s="5">
        <v>11</v>
      </c>
      <c r="J161" s="12" t="str">
        <f t="shared" si="7"/>
        <v>Senior</v>
      </c>
      <c r="K161" s="5">
        <v>1160</v>
      </c>
      <c r="L161" s="5">
        <v>5160</v>
      </c>
      <c r="M161" s="5">
        <v>29557</v>
      </c>
      <c r="N161" s="5" t="s">
        <v>38</v>
      </c>
      <c r="O161" s="5">
        <v>31</v>
      </c>
      <c r="P161" s="5">
        <v>1</v>
      </c>
      <c r="Q161" s="15" t="str">
        <f t="shared" si="8"/>
        <v>Poor</v>
      </c>
      <c r="R161" s="6" t="s">
        <v>36</v>
      </c>
    </row>
    <row r="162" spans="1:18" x14ac:dyDescent="0.3">
      <c r="A162" s="4">
        <v>161</v>
      </c>
      <c r="B162" s="5" t="s">
        <v>196</v>
      </c>
      <c r="C162" s="5">
        <v>56</v>
      </c>
      <c r="D162" s="12" t="str">
        <f t="shared" si="6"/>
        <v>Senior</v>
      </c>
      <c r="E162" s="5" t="s">
        <v>16</v>
      </c>
      <c r="F162" s="5" t="s">
        <v>24</v>
      </c>
      <c r="G162" s="5" t="s">
        <v>46</v>
      </c>
      <c r="H162" s="5" t="s">
        <v>26</v>
      </c>
      <c r="I162" s="5">
        <v>1</v>
      </c>
      <c r="J162" s="12" t="str">
        <f t="shared" si="7"/>
        <v>Beginner</v>
      </c>
      <c r="K162" s="5">
        <v>1161</v>
      </c>
      <c r="L162" s="5">
        <v>5161</v>
      </c>
      <c r="M162" s="5">
        <v>94971</v>
      </c>
      <c r="N162" s="5" t="s">
        <v>20</v>
      </c>
      <c r="O162" s="5">
        <v>34</v>
      </c>
      <c r="P162" s="5">
        <v>1</v>
      </c>
      <c r="Q162" s="15" t="str">
        <f t="shared" si="8"/>
        <v>Poor</v>
      </c>
      <c r="R162" s="6" t="s">
        <v>40</v>
      </c>
    </row>
    <row r="163" spans="1:18" x14ac:dyDescent="0.3">
      <c r="A163" s="4">
        <v>162</v>
      </c>
      <c r="B163" s="5" t="s">
        <v>197</v>
      </c>
      <c r="C163" s="5">
        <v>52</v>
      </c>
      <c r="D163" s="12" t="str">
        <f t="shared" si="6"/>
        <v>Senior</v>
      </c>
      <c r="E163" s="5" t="s">
        <v>23</v>
      </c>
      <c r="F163" s="5" t="s">
        <v>43</v>
      </c>
      <c r="G163" s="5" t="s">
        <v>33</v>
      </c>
      <c r="H163" s="5" t="s">
        <v>19</v>
      </c>
      <c r="I163" s="5">
        <v>5</v>
      </c>
      <c r="J163" s="12" t="str">
        <f t="shared" si="7"/>
        <v>Junior</v>
      </c>
      <c r="K163" s="5">
        <v>1162</v>
      </c>
      <c r="L163" s="5">
        <v>5162</v>
      </c>
      <c r="M163" s="5">
        <v>20162</v>
      </c>
      <c r="N163" s="5" t="s">
        <v>20</v>
      </c>
      <c r="O163" s="5">
        <v>39</v>
      </c>
      <c r="P163" s="5">
        <v>2</v>
      </c>
      <c r="Q163" s="15" t="str">
        <f t="shared" si="8"/>
        <v>Average</v>
      </c>
      <c r="R163" s="6" t="s">
        <v>21</v>
      </c>
    </row>
    <row r="164" spans="1:18" x14ac:dyDescent="0.3">
      <c r="A164" s="4">
        <v>163</v>
      </c>
      <c r="B164" s="5" t="s">
        <v>198</v>
      </c>
      <c r="C164" s="5">
        <v>43</v>
      </c>
      <c r="D164" s="12" t="str">
        <f t="shared" si="6"/>
        <v>Elder</v>
      </c>
      <c r="E164" s="5" t="s">
        <v>23</v>
      </c>
      <c r="F164" s="5" t="s">
        <v>43</v>
      </c>
      <c r="G164" s="5" t="s">
        <v>33</v>
      </c>
      <c r="H164" s="5" t="s">
        <v>29</v>
      </c>
      <c r="I164" s="5">
        <v>16</v>
      </c>
      <c r="J164" s="12" t="str">
        <f t="shared" si="7"/>
        <v>Expert</v>
      </c>
      <c r="K164" s="5">
        <v>1163</v>
      </c>
      <c r="L164" s="5">
        <v>5163</v>
      </c>
      <c r="M164" s="5">
        <v>54742</v>
      </c>
      <c r="N164" s="5" t="s">
        <v>20</v>
      </c>
      <c r="O164" s="5">
        <v>67</v>
      </c>
      <c r="P164" s="5">
        <v>2</v>
      </c>
      <c r="Q164" s="15" t="str">
        <f t="shared" si="8"/>
        <v>Average</v>
      </c>
      <c r="R164" s="6" t="s">
        <v>40</v>
      </c>
    </row>
    <row r="165" spans="1:18" x14ac:dyDescent="0.3">
      <c r="A165" s="4">
        <v>164</v>
      </c>
      <c r="B165" s="5" t="s">
        <v>199</v>
      </c>
      <c r="C165" s="5">
        <v>34</v>
      </c>
      <c r="D165" s="12" t="str">
        <f t="shared" si="6"/>
        <v>Mid Age</v>
      </c>
      <c r="E165" s="5" t="s">
        <v>23</v>
      </c>
      <c r="F165" s="5" t="s">
        <v>43</v>
      </c>
      <c r="G165" s="5" t="s">
        <v>33</v>
      </c>
      <c r="H165" s="5" t="s">
        <v>19</v>
      </c>
      <c r="I165" s="5">
        <v>2</v>
      </c>
      <c r="J165" s="12" t="str">
        <f t="shared" si="7"/>
        <v>Beginner</v>
      </c>
      <c r="K165" s="5">
        <v>1164</v>
      </c>
      <c r="L165" s="5">
        <v>5164</v>
      </c>
      <c r="M165" s="5">
        <v>39675</v>
      </c>
      <c r="N165" s="5" t="s">
        <v>30</v>
      </c>
      <c r="O165" s="5">
        <v>8</v>
      </c>
      <c r="P165" s="5">
        <v>4</v>
      </c>
      <c r="Q165" s="15" t="str">
        <f t="shared" si="8"/>
        <v>Excellent</v>
      </c>
      <c r="R165" s="6" t="s">
        <v>40</v>
      </c>
    </row>
    <row r="166" spans="1:18" x14ac:dyDescent="0.3">
      <c r="A166" s="4">
        <v>165</v>
      </c>
      <c r="B166" s="5" t="s">
        <v>200</v>
      </c>
      <c r="C166" s="5">
        <v>51</v>
      </c>
      <c r="D166" s="12" t="str">
        <f t="shared" si="6"/>
        <v>Senior</v>
      </c>
      <c r="E166" s="5" t="s">
        <v>23</v>
      </c>
      <c r="F166" s="5" t="s">
        <v>24</v>
      </c>
      <c r="G166" s="5" t="s">
        <v>18</v>
      </c>
      <c r="H166" s="5" t="s">
        <v>26</v>
      </c>
      <c r="I166" s="5">
        <v>1</v>
      </c>
      <c r="J166" s="12" t="str">
        <f t="shared" si="7"/>
        <v>Beginner</v>
      </c>
      <c r="K166" s="5">
        <v>1165</v>
      </c>
      <c r="L166" s="5">
        <v>5165</v>
      </c>
      <c r="M166" s="5">
        <v>93997</v>
      </c>
      <c r="N166" s="5" t="s">
        <v>20</v>
      </c>
      <c r="O166" s="5">
        <v>87</v>
      </c>
      <c r="P166" s="5">
        <v>1</v>
      </c>
      <c r="Q166" s="15" t="str">
        <f t="shared" si="8"/>
        <v>Poor</v>
      </c>
      <c r="R166" s="6" t="s">
        <v>31</v>
      </c>
    </row>
    <row r="167" spans="1:18" x14ac:dyDescent="0.3">
      <c r="A167" s="4">
        <v>166</v>
      </c>
      <c r="B167" s="5" t="s">
        <v>201</v>
      </c>
      <c r="C167" s="5">
        <v>51</v>
      </c>
      <c r="D167" s="12" t="str">
        <f t="shared" si="6"/>
        <v>Senior</v>
      </c>
      <c r="E167" s="5" t="s">
        <v>23</v>
      </c>
      <c r="F167" s="5" t="s">
        <v>24</v>
      </c>
      <c r="G167" s="5" t="s">
        <v>46</v>
      </c>
      <c r="H167" s="5" t="s">
        <v>26</v>
      </c>
      <c r="I167" s="5">
        <v>19</v>
      </c>
      <c r="J167" s="12" t="str">
        <f t="shared" si="7"/>
        <v>Expert</v>
      </c>
      <c r="K167" s="5">
        <v>1166</v>
      </c>
      <c r="L167" s="5">
        <v>5166</v>
      </c>
      <c r="M167" s="5">
        <v>37015</v>
      </c>
      <c r="N167" s="5" t="s">
        <v>30</v>
      </c>
      <c r="O167" s="5">
        <v>78</v>
      </c>
      <c r="P167" s="5">
        <v>1</v>
      </c>
      <c r="Q167" s="15" t="str">
        <f t="shared" si="8"/>
        <v>Poor</v>
      </c>
      <c r="R167" s="6" t="s">
        <v>31</v>
      </c>
    </row>
    <row r="168" spans="1:18" x14ac:dyDescent="0.3">
      <c r="A168" s="4">
        <v>167</v>
      </c>
      <c r="B168" s="5" t="s">
        <v>202</v>
      </c>
      <c r="C168" s="5">
        <v>43</v>
      </c>
      <c r="D168" s="12" t="str">
        <f t="shared" si="6"/>
        <v>Elder</v>
      </c>
      <c r="E168" s="5" t="s">
        <v>23</v>
      </c>
      <c r="F168" s="5" t="s">
        <v>24</v>
      </c>
      <c r="G168" s="5" t="s">
        <v>25</v>
      </c>
      <c r="H168" s="5" t="s">
        <v>26</v>
      </c>
      <c r="I168" s="5">
        <v>7</v>
      </c>
      <c r="J168" s="12" t="str">
        <f t="shared" si="7"/>
        <v>Mid-level</v>
      </c>
      <c r="K168" s="5">
        <v>1167</v>
      </c>
      <c r="L168" s="5">
        <v>5167</v>
      </c>
      <c r="M168" s="5">
        <v>70057</v>
      </c>
      <c r="N168" s="5" t="s">
        <v>20</v>
      </c>
      <c r="O168" s="5">
        <v>55</v>
      </c>
      <c r="P168" s="5">
        <v>1</v>
      </c>
      <c r="Q168" s="15" t="str">
        <f t="shared" si="8"/>
        <v>Poor</v>
      </c>
      <c r="R168" s="6" t="s">
        <v>36</v>
      </c>
    </row>
    <row r="169" spans="1:18" x14ac:dyDescent="0.3">
      <c r="A169" s="4">
        <v>168</v>
      </c>
      <c r="B169" s="5" t="s">
        <v>203</v>
      </c>
      <c r="C169" s="5">
        <v>31</v>
      </c>
      <c r="D169" s="12" t="str">
        <f t="shared" si="6"/>
        <v>Mid Age</v>
      </c>
      <c r="E169" s="5" t="s">
        <v>23</v>
      </c>
      <c r="F169" s="5" t="s">
        <v>24</v>
      </c>
      <c r="G169" s="5" t="s">
        <v>18</v>
      </c>
      <c r="H169" s="5" t="s">
        <v>29</v>
      </c>
      <c r="I169" s="5">
        <v>11</v>
      </c>
      <c r="J169" s="12" t="str">
        <f t="shared" si="7"/>
        <v>Senior</v>
      </c>
      <c r="K169" s="5">
        <v>1168</v>
      </c>
      <c r="L169" s="5">
        <v>5168</v>
      </c>
      <c r="M169" s="5">
        <v>52591</v>
      </c>
      <c r="N169" s="5" t="s">
        <v>30</v>
      </c>
      <c r="O169" s="5">
        <v>27</v>
      </c>
      <c r="P169" s="5">
        <v>4</v>
      </c>
      <c r="Q169" s="15" t="str">
        <f t="shared" si="8"/>
        <v>Excellent</v>
      </c>
      <c r="R169" s="6" t="s">
        <v>40</v>
      </c>
    </row>
    <row r="170" spans="1:18" x14ac:dyDescent="0.3">
      <c r="A170" s="4">
        <v>169</v>
      </c>
      <c r="B170" s="5" t="s">
        <v>204</v>
      </c>
      <c r="C170" s="5">
        <v>58</v>
      </c>
      <c r="D170" s="12" t="str">
        <f t="shared" si="6"/>
        <v>Senior</v>
      </c>
      <c r="E170" s="5" t="s">
        <v>23</v>
      </c>
      <c r="F170" s="5" t="s">
        <v>43</v>
      </c>
      <c r="G170" s="5" t="s">
        <v>46</v>
      </c>
      <c r="H170" s="5" t="s">
        <v>19</v>
      </c>
      <c r="I170" s="5">
        <v>3</v>
      </c>
      <c r="J170" s="12" t="str">
        <f t="shared" si="7"/>
        <v>Junior</v>
      </c>
      <c r="K170" s="5">
        <v>1169</v>
      </c>
      <c r="L170" s="5">
        <v>5169</v>
      </c>
      <c r="M170" s="5">
        <v>113583</v>
      </c>
      <c r="N170" s="5" t="s">
        <v>38</v>
      </c>
      <c r="O170" s="5">
        <v>93</v>
      </c>
      <c r="P170" s="5">
        <v>1</v>
      </c>
      <c r="Q170" s="15" t="str">
        <f t="shared" si="8"/>
        <v>Poor</v>
      </c>
      <c r="R170" s="6" t="s">
        <v>36</v>
      </c>
    </row>
    <row r="171" spans="1:18" x14ac:dyDescent="0.3">
      <c r="A171" s="4">
        <v>170</v>
      </c>
      <c r="B171" s="5" t="s">
        <v>205</v>
      </c>
      <c r="C171" s="5">
        <v>21</v>
      </c>
      <c r="D171" s="12" t="str">
        <f t="shared" si="6"/>
        <v>Young</v>
      </c>
      <c r="E171" s="5" t="s">
        <v>23</v>
      </c>
      <c r="F171" s="5" t="s">
        <v>43</v>
      </c>
      <c r="G171" s="5" t="s">
        <v>46</v>
      </c>
      <c r="H171" s="5" t="s">
        <v>29</v>
      </c>
      <c r="I171" s="5">
        <v>4</v>
      </c>
      <c r="J171" s="12" t="str">
        <f t="shared" si="7"/>
        <v>Junior</v>
      </c>
      <c r="K171" s="5">
        <v>1170</v>
      </c>
      <c r="L171" s="5">
        <v>5170</v>
      </c>
      <c r="M171" s="5">
        <v>29833</v>
      </c>
      <c r="N171" s="5" t="s">
        <v>27</v>
      </c>
      <c r="O171" s="5">
        <v>53</v>
      </c>
      <c r="P171" s="5">
        <v>4</v>
      </c>
      <c r="Q171" s="15" t="str">
        <f t="shared" si="8"/>
        <v>Excellent</v>
      </c>
      <c r="R171" s="6" t="s">
        <v>21</v>
      </c>
    </row>
    <row r="172" spans="1:18" x14ac:dyDescent="0.3">
      <c r="A172" s="4">
        <v>171</v>
      </c>
      <c r="B172" s="5" t="s">
        <v>206</v>
      </c>
      <c r="C172" s="5">
        <v>22</v>
      </c>
      <c r="D172" s="12" t="str">
        <f t="shared" si="6"/>
        <v>Young</v>
      </c>
      <c r="E172" s="5" t="s">
        <v>23</v>
      </c>
      <c r="F172" s="5" t="s">
        <v>17</v>
      </c>
      <c r="G172" s="5" t="s">
        <v>25</v>
      </c>
      <c r="H172" s="5" t="s">
        <v>29</v>
      </c>
      <c r="I172" s="5">
        <v>12</v>
      </c>
      <c r="J172" s="12" t="str">
        <f t="shared" si="7"/>
        <v>Senior</v>
      </c>
      <c r="K172" s="5">
        <v>1171</v>
      </c>
      <c r="L172" s="5">
        <v>5171</v>
      </c>
      <c r="M172" s="5">
        <v>27896</v>
      </c>
      <c r="N172" s="5" t="s">
        <v>38</v>
      </c>
      <c r="O172" s="5">
        <v>39</v>
      </c>
      <c r="P172" s="5">
        <v>3</v>
      </c>
      <c r="Q172" s="15" t="str">
        <f t="shared" si="8"/>
        <v>Good</v>
      </c>
      <c r="R172" s="6" t="s">
        <v>40</v>
      </c>
    </row>
    <row r="173" spans="1:18" x14ac:dyDescent="0.3">
      <c r="A173" s="4">
        <v>172</v>
      </c>
      <c r="B173" s="5" t="s">
        <v>207</v>
      </c>
      <c r="C173" s="5">
        <v>56</v>
      </c>
      <c r="D173" s="12" t="str">
        <f t="shared" si="6"/>
        <v>Senior</v>
      </c>
      <c r="E173" s="5" t="s">
        <v>23</v>
      </c>
      <c r="F173" s="5" t="s">
        <v>17</v>
      </c>
      <c r="G173" s="5" t="s">
        <v>25</v>
      </c>
      <c r="H173" s="5" t="s">
        <v>26</v>
      </c>
      <c r="I173" s="5">
        <v>14</v>
      </c>
      <c r="J173" s="12" t="str">
        <f t="shared" si="7"/>
        <v>Senior</v>
      </c>
      <c r="K173" s="5">
        <v>1172</v>
      </c>
      <c r="L173" s="5">
        <v>5172</v>
      </c>
      <c r="M173" s="5">
        <v>52972</v>
      </c>
      <c r="N173" s="5" t="s">
        <v>38</v>
      </c>
      <c r="O173" s="5">
        <v>65</v>
      </c>
      <c r="P173" s="5">
        <v>4</v>
      </c>
      <c r="Q173" s="15" t="str">
        <f t="shared" si="8"/>
        <v>Excellent</v>
      </c>
      <c r="R173" s="6" t="s">
        <v>40</v>
      </c>
    </row>
    <row r="174" spans="1:18" x14ac:dyDescent="0.3">
      <c r="A174" s="4">
        <v>173</v>
      </c>
      <c r="B174" s="5" t="s">
        <v>208</v>
      </c>
      <c r="C174" s="5">
        <v>36</v>
      </c>
      <c r="D174" s="12" t="str">
        <f t="shared" si="6"/>
        <v>Mid Age</v>
      </c>
      <c r="E174" s="5" t="s">
        <v>16</v>
      </c>
      <c r="F174" s="5" t="s">
        <v>24</v>
      </c>
      <c r="G174" s="5" t="s">
        <v>25</v>
      </c>
      <c r="H174" s="5" t="s">
        <v>29</v>
      </c>
      <c r="I174" s="5">
        <v>15</v>
      </c>
      <c r="J174" s="12" t="str">
        <f t="shared" si="7"/>
        <v>Senior</v>
      </c>
      <c r="K174" s="5">
        <v>1173</v>
      </c>
      <c r="L174" s="5">
        <v>5173</v>
      </c>
      <c r="M174" s="5">
        <v>69733</v>
      </c>
      <c r="N174" s="5" t="s">
        <v>20</v>
      </c>
      <c r="O174" s="5">
        <v>17</v>
      </c>
      <c r="P174" s="5">
        <v>3</v>
      </c>
      <c r="Q174" s="15" t="str">
        <f t="shared" si="8"/>
        <v>Good</v>
      </c>
      <c r="R174" s="6" t="s">
        <v>21</v>
      </c>
    </row>
    <row r="175" spans="1:18" x14ac:dyDescent="0.3">
      <c r="A175" s="4">
        <v>174</v>
      </c>
      <c r="B175" s="5" t="s">
        <v>209</v>
      </c>
      <c r="C175" s="5">
        <v>21</v>
      </c>
      <c r="D175" s="12" t="str">
        <f t="shared" si="6"/>
        <v>Young</v>
      </c>
      <c r="E175" s="5" t="s">
        <v>16</v>
      </c>
      <c r="F175" s="5" t="s">
        <v>45</v>
      </c>
      <c r="G175" s="5" t="s">
        <v>33</v>
      </c>
      <c r="H175" s="5" t="s">
        <v>29</v>
      </c>
      <c r="I175" s="5">
        <v>9</v>
      </c>
      <c r="J175" s="12" t="str">
        <f t="shared" si="7"/>
        <v>Mid-level</v>
      </c>
      <c r="K175" s="5">
        <v>1174</v>
      </c>
      <c r="L175" s="5">
        <v>5174</v>
      </c>
      <c r="M175" s="5">
        <v>61800</v>
      </c>
      <c r="N175" s="5" t="s">
        <v>30</v>
      </c>
      <c r="O175" s="5">
        <v>30</v>
      </c>
      <c r="P175" s="5">
        <v>1</v>
      </c>
      <c r="Q175" s="15" t="str">
        <f t="shared" si="8"/>
        <v>Poor</v>
      </c>
      <c r="R175" s="6" t="s">
        <v>21</v>
      </c>
    </row>
    <row r="176" spans="1:18" x14ac:dyDescent="0.3">
      <c r="A176" s="4">
        <v>175</v>
      </c>
      <c r="B176" s="5" t="s">
        <v>210</v>
      </c>
      <c r="C176" s="5">
        <v>21</v>
      </c>
      <c r="D176" s="12" t="str">
        <f t="shared" si="6"/>
        <v>Young</v>
      </c>
      <c r="E176" s="5" t="s">
        <v>23</v>
      </c>
      <c r="F176" s="5" t="s">
        <v>45</v>
      </c>
      <c r="G176" s="5" t="s">
        <v>25</v>
      </c>
      <c r="H176" s="5" t="s">
        <v>26</v>
      </c>
      <c r="I176" s="5">
        <v>15</v>
      </c>
      <c r="J176" s="12" t="str">
        <f t="shared" si="7"/>
        <v>Senior</v>
      </c>
      <c r="K176" s="5">
        <v>1175</v>
      </c>
      <c r="L176" s="5">
        <v>5175</v>
      </c>
      <c r="M176" s="5">
        <v>116044</v>
      </c>
      <c r="N176" s="5" t="s">
        <v>27</v>
      </c>
      <c r="O176" s="5">
        <v>53</v>
      </c>
      <c r="P176" s="5">
        <v>3</v>
      </c>
      <c r="Q176" s="15" t="str">
        <f t="shared" si="8"/>
        <v>Good</v>
      </c>
      <c r="R176" s="6" t="s">
        <v>36</v>
      </c>
    </row>
    <row r="177" spans="1:18" x14ac:dyDescent="0.3">
      <c r="A177" s="4">
        <v>176</v>
      </c>
      <c r="B177" s="5" t="s">
        <v>211</v>
      </c>
      <c r="C177" s="5">
        <v>47</v>
      </c>
      <c r="D177" s="12" t="str">
        <f t="shared" si="6"/>
        <v>Elder</v>
      </c>
      <c r="E177" s="5" t="s">
        <v>23</v>
      </c>
      <c r="F177" s="5" t="s">
        <v>43</v>
      </c>
      <c r="G177" s="5" t="s">
        <v>46</v>
      </c>
      <c r="H177" s="5" t="s">
        <v>29</v>
      </c>
      <c r="I177" s="5">
        <v>11</v>
      </c>
      <c r="J177" s="12" t="str">
        <f t="shared" si="7"/>
        <v>Senior</v>
      </c>
      <c r="K177" s="5">
        <v>1176</v>
      </c>
      <c r="L177" s="5">
        <v>5176</v>
      </c>
      <c r="M177" s="5">
        <v>25347</v>
      </c>
      <c r="N177" s="5" t="s">
        <v>20</v>
      </c>
      <c r="O177" s="5">
        <v>13</v>
      </c>
      <c r="P177" s="5">
        <v>4</v>
      </c>
      <c r="Q177" s="15" t="str">
        <f t="shared" si="8"/>
        <v>Excellent</v>
      </c>
      <c r="R177" s="6" t="s">
        <v>36</v>
      </c>
    </row>
    <row r="178" spans="1:18" x14ac:dyDescent="0.3">
      <c r="A178" s="4">
        <v>177</v>
      </c>
      <c r="B178" s="5" t="s">
        <v>212</v>
      </c>
      <c r="C178" s="5">
        <v>42</v>
      </c>
      <c r="D178" s="12" t="str">
        <f t="shared" si="6"/>
        <v>Elder</v>
      </c>
      <c r="E178" s="5" t="s">
        <v>16</v>
      </c>
      <c r="F178" s="5" t="s">
        <v>43</v>
      </c>
      <c r="G178" s="5" t="s">
        <v>25</v>
      </c>
      <c r="H178" s="5" t="s">
        <v>26</v>
      </c>
      <c r="I178" s="5">
        <v>16</v>
      </c>
      <c r="J178" s="12" t="str">
        <f t="shared" si="7"/>
        <v>Expert</v>
      </c>
      <c r="K178" s="5">
        <v>1177</v>
      </c>
      <c r="L178" s="5">
        <v>5177</v>
      </c>
      <c r="M178" s="5">
        <v>79063</v>
      </c>
      <c r="N178" s="5" t="s">
        <v>20</v>
      </c>
      <c r="O178" s="5">
        <v>21</v>
      </c>
      <c r="P178" s="5">
        <v>2</v>
      </c>
      <c r="Q178" s="15" t="str">
        <f t="shared" si="8"/>
        <v>Average</v>
      </c>
      <c r="R178" s="6" t="s">
        <v>21</v>
      </c>
    </row>
    <row r="179" spans="1:18" x14ac:dyDescent="0.3">
      <c r="A179" s="4">
        <v>178</v>
      </c>
      <c r="B179" s="5" t="s">
        <v>213</v>
      </c>
      <c r="C179" s="5">
        <v>56</v>
      </c>
      <c r="D179" s="12" t="str">
        <f t="shared" si="6"/>
        <v>Senior</v>
      </c>
      <c r="E179" s="5" t="s">
        <v>23</v>
      </c>
      <c r="F179" s="5" t="s">
        <v>43</v>
      </c>
      <c r="G179" s="5" t="s">
        <v>46</v>
      </c>
      <c r="H179" s="5" t="s">
        <v>26</v>
      </c>
      <c r="I179" s="5">
        <v>15</v>
      </c>
      <c r="J179" s="12" t="str">
        <f t="shared" si="7"/>
        <v>Senior</v>
      </c>
      <c r="K179" s="5">
        <v>1178</v>
      </c>
      <c r="L179" s="5">
        <v>5178</v>
      </c>
      <c r="M179" s="5">
        <v>115850</v>
      </c>
      <c r="N179" s="5" t="s">
        <v>20</v>
      </c>
      <c r="O179" s="5">
        <v>19</v>
      </c>
      <c r="P179" s="5">
        <v>3</v>
      </c>
      <c r="Q179" s="15" t="str">
        <f t="shared" si="8"/>
        <v>Good</v>
      </c>
      <c r="R179" s="6" t="s">
        <v>36</v>
      </c>
    </row>
    <row r="180" spans="1:18" x14ac:dyDescent="0.3">
      <c r="A180" s="4">
        <v>179</v>
      </c>
      <c r="B180" s="5" t="s">
        <v>214</v>
      </c>
      <c r="C180" s="5">
        <v>51</v>
      </c>
      <c r="D180" s="12" t="str">
        <f t="shared" si="6"/>
        <v>Senior</v>
      </c>
      <c r="E180" s="5" t="s">
        <v>16</v>
      </c>
      <c r="F180" s="5" t="s">
        <v>17</v>
      </c>
      <c r="G180" s="5" t="s">
        <v>18</v>
      </c>
      <c r="H180" s="5" t="s">
        <v>26</v>
      </c>
      <c r="I180" s="5">
        <v>11</v>
      </c>
      <c r="J180" s="12" t="str">
        <f t="shared" si="7"/>
        <v>Senior</v>
      </c>
      <c r="K180" s="5">
        <v>1179</v>
      </c>
      <c r="L180" s="5">
        <v>5179</v>
      </c>
      <c r="M180" s="5">
        <v>22643</v>
      </c>
      <c r="N180" s="5" t="s">
        <v>38</v>
      </c>
      <c r="O180" s="5">
        <v>53</v>
      </c>
      <c r="P180" s="5">
        <v>3</v>
      </c>
      <c r="Q180" s="15" t="str">
        <f t="shared" si="8"/>
        <v>Good</v>
      </c>
      <c r="R180" s="6" t="s">
        <v>21</v>
      </c>
    </row>
    <row r="181" spans="1:18" x14ac:dyDescent="0.3">
      <c r="A181" s="4">
        <v>180</v>
      </c>
      <c r="B181" s="5" t="s">
        <v>215</v>
      </c>
      <c r="C181" s="5">
        <v>52</v>
      </c>
      <c r="D181" s="12" t="str">
        <f t="shared" si="6"/>
        <v>Senior</v>
      </c>
      <c r="E181" s="5" t="s">
        <v>16</v>
      </c>
      <c r="F181" s="5" t="s">
        <v>17</v>
      </c>
      <c r="G181" s="5" t="s">
        <v>33</v>
      </c>
      <c r="H181" s="5" t="s">
        <v>26</v>
      </c>
      <c r="I181" s="5">
        <v>7</v>
      </c>
      <c r="J181" s="12" t="str">
        <f t="shared" si="7"/>
        <v>Mid-level</v>
      </c>
      <c r="K181" s="5">
        <v>1180</v>
      </c>
      <c r="L181" s="5">
        <v>5180</v>
      </c>
      <c r="M181" s="5">
        <v>60785</v>
      </c>
      <c r="N181" s="5" t="s">
        <v>30</v>
      </c>
      <c r="O181" s="5">
        <v>19</v>
      </c>
      <c r="P181" s="5">
        <v>1</v>
      </c>
      <c r="Q181" s="15" t="str">
        <f t="shared" si="8"/>
        <v>Poor</v>
      </c>
      <c r="R181" s="6" t="s">
        <v>40</v>
      </c>
    </row>
    <row r="182" spans="1:18" x14ac:dyDescent="0.3">
      <c r="A182" s="4">
        <v>181</v>
      </c>
      <c r="B182" s="5" t="s">
        <v>216</v>
      </c>
      <c r="C182" s="5">
        <v>20</v>
      </c>
      <c r="D182" s="12" t="str">
        <f t="shared" si="6"/>
        <v>Young</v>
      </c>
      <c r="E182" s="5" t="s">
        <v>16</v>
      </c>
      <c r="F182" s="5" t="s">
        <v>43</v>
      </c>
      <c r="G182" s="5" t="s">
        <v>18</v>
      </c>
      <c r="H182" s="5" t="s">
        <v>29</v>
      </c>
      <c r="I182" s="5">
        <v>19</v>
      </c>
      <c r="J182" s="12" t="str">
        <f t="shared" si="7"/>
        <v>Expert</v>
      </c>
      <c r="K182" s="5">
        <v>1181</v>
      </c>
      <c r="L182" s="5">
        <v>5181</v>
      </c>
      <c r="M182" s="5">
        <v>38681</v>
      </c>
      <c r="N182" s="5" t="s">
        <v>30</v>
      </c>
      <c r="O182" s="5">
        <v>57</v>
      </c>
      <c r="P182" s="5">
        <v>4</v>
      </c>
      <c r="Q182" s="15" t="str">
        <f t="shared" si="8"/>
        <v>Excellent</v>
      </c>
      <c r="R182" s="6" t="s">
        <v>40</v>
      </c>
    </row>
    <row r="183" spans="1:18" x14ac:dyDescent="0.3">
      <c r="A183" s="4">
        <v>182</v>
      </c>
      <c r="B183" s="5" t="s">
        <v>217</v>
      </c>
      <c r="C183" s="5">
        <v>38</v>
      </c>
      <c r="D183" s="12" t="str">
        <f t="shared" si="6"/>
        <v>Mid Age</v>
      </c>
      <c r="E183" s="5" t="s">
        <v>16</v>
      </c>
      <c r="F183" s="5" t="s">
        <v>43</v>
      </c>
      <c r="G183" s="5" t="s">
        <v>18</v>
      </c>
      <c r="H183" s="5" t="s">
        <v>26</v>
      </c>
      <c r="I183" s="5">
        <v>2</v>
      </c>
      <c r="J183" s="12" t="str">
        <f t="shared" si="7"/>
        <v>Beginner</v>
      </c>
      <c r="K183" s="5">
        <v>1182</v>
      </c>
      <c r="L183" s="5">
        <v>5182</v>
      </c>
      <c r="M183" s="5">
        <v>70026</v>
      </c>
      <c r="N183" s="5" t="s">
        <v>27</v>
      </c>
      <c r="O183" s="5">
        <v>25</v>
      </c>
      <c r="P183" s="5">
        <v>3</v>
      </c>
      <c r="Q183" s="15" t="str">
        <f t="shared" si="8"/>
        <v>Good</v>
      </c>
      <c r="R183" s="6" t="s">
        <v>31</v>
      </c>
    </row>
    <row r="184" spans="1:18" x14ac:dyDescent="0.3">
      <c r="A184" s="4">
        <v>183</v>
      </c>
      <c r="B184" s="5" t="s">
        <v>218</v>
      </c>
      <c r="C184" s="5">
        <v>21</v>
      </c>
      <c r="D184" s="12" t="str">
        <f t="shared" si="6"/>
        <v>Young</v>
      </c>
      <c r="E184" s="5" t="s">
        <v>16</v>
      </c>
      <c r="F184" s="5" t="s">
        <v>43</v>
      </c>
      <c r="G184" s="5" t="s">
        <v>46</v>
      </c>
      <c r="H184" s="5" t="s">
        <v>26</v>
      </c>
      <c r="I184" s="5">
        <v>15</v>
      </c>
      <c r="J184" s="12" t="str">
        <f t="shared" si="7"/>
        <v>Senior</v>
      </c>
      <c r="K184" s="5">
        <v>1183</v>
      </c>
      <c r="L184" s="5">
        <v>5183</v>
      </c>
      <c r="M184" s="5">
        <v>35892</v>
      </c>
      <c r="N184" s="5" t="s">
        <v>30</v>
      </c>
      <c r="O184" s="5">
        <v>86</v>
      </c>
      <c r="P184" s="5">
        <v>3</v>
      </c>
      <c r="Q184" s="15" t="str">
        <f t="shared" si="8"/>
        <v>Good</v>
      </c>
      <c r="R184" s="6" t="s">
        <v>40</v>
      </c>
    </row>
    <row r="185" spans="1:18" x14ac:dyDescent="0.3">
      <c r="A185" s="4">
        <v>184</v>
      </c>
      <c r="B185" s="5" t="s">
        <v>219</v>
      </c>
      <c r="C185" s="5">
        <v>45</v>
      </c>
      <c r="D185" s="12" t="str">
        <f t="shared" si="6"/>
        <v>Elder</v>
      </c>
      <c r="E185" s="5" t="s">
        <v>23</v>
      </c>
      <c r="F185" s="5" t="s">
        <v>45</v>
      </c>
      <c r="G185" s="5" t="s">
        <v>18</v>
      </c>
      <c r="H185" s="5" t="s">
        <v>29</v>
      </c>
      <c r="I185" s="5">
        <v>12</v>
      </c>
      <c r="J185" s="12" t="str">
        <f t="shared" si="7"/>
        <v>Senior</v>
      </c>
      <c r="K185" s="5">
        <v>1184</v>
      </c>
      <c r="L185" s="5">
        <v>5184</v>
      </c>
      <c r="M185" s="5">
        <v>67299</v>
      </c>
      <c r="N185" s="5" t="s">
        <v>30</v>
      </c>
      <c r="O185" s="5">
        <v>31</v>
      </c>
      <c r="P185" s="5">
        <v>3</v>
      </c>
      <c r="Q185" s="15" t="str">
        <f t="shared" si="8"/>
        <v>Good</v>
      </c>
      <c r="R185" s="6" t="s">
        <v>21</v>
      </c>
    </row>
    <row r="186" spans="1:18" x14ac:dyDescent="0.3">
      <c r="A186" s="4">
        <v>185</v>
      </c>
      <c r="B186" s="5" t="s">
        <v>220</v>
      </c>
      <c r="C186" s="5">
        <v>51</v>
      </c>
      <c r="D186" s="12" t="str">
        <f t="shared" si="6"/>
        <v>Senior</v>
      </c>
      <c r="E186" s="5" t="s">
        <v>16</v>
      </c>
      <c r="F186" s="5" t="s">
        <v>17</v>
      </c>
      <c r="G186" s="5" t="s">
        <v>46</v>
      </c>
      <c r="H186" s="5" t="s">
        <v>29</v>
      </c>
      <c r="I186" s="5">
        <v>18</v>
      </c>
      <c r="J186" s="12" t="str">
        <f t="shared" si="7"/>
        <v>Expert</v>
      </c>
      <c r="K186" s="5">
        <v>1185</v>
      </c>
      <c r="L186" s="5">
        <v>5185</v>
      </c>
      <c r="M186" s="5">
        <v>37073</v>
      </c>
      <c r="N186" s="5" t="s">
        <v>20</v>
      </c>
      <c r="O186" s="5">
        <v>81</v>
      </c>
      <c r="P186" s="5">
        <v>3</v>
      </c>
      <c r="Q186" s="15" t="str">
        <f t="shared" si="8"/>
        <v>Good</v>
      </c>
      <c r="R186" s="6" t="s">
        <v>36</v>
      </c>
    </row>
    <row r="187" spans="1:18" x14ac:dyDescent="0.3">
      <c r="A187" s="4">
        <v>186</v>
      </c>
      <c r="B187" s="5" t="s">
        <v>221</v>
      </c>
      <c r="C187" s="5">
        <v>25</v>
      </c>
      <c r="D187" s="12" t="str">
        <f t="shared" si="6"/>
        <v>Young</v>
      </c>
      <c r="E187" s="5" t="s">
        <v>23</v>
      </c>
      <c r="F187" s="5" t="s">
        <v>45</v>
      </c>
      <c r="G187" s="5" t="s">
        <v>25</v>
      </c>
      <c r="H187" s="5" t="s">
        <v>19</v>
      </c>
      <c r="I187" s="5">
        <v>7</v>
      </c>
      <c r="J187" s="12" t="str">
        <f t="shared" si="7"/>
        <v>Mid-level</v>
      </c>
      <c r="K187" s="5">
        <v>1186</v>
      </c>
      <c r="L187" s="5">
        <v>5186</v>
      </c>
      <c r="M187" s="5">
        <v>50682</v>
      </c>
      <c r="N187" s="5" t="s">
        <v>20</v>
      </c>
      <c r="O187" s="5">
        <v>55</v>
      </c>
      <c r="P187" s="5">
        <v>2</v>
      </c>
      <c r="Q187" s="15" t="str">
        <f t="shared" si="8"/>
        <v>Average</v>
      </c>
      <c r="R187" s="6" t="s">
        <v>31</v>
      </c>
    </row>
    <row r="188" spans="1:18" x14ac:dyDescent="0.3">
      <c r="A188" s="4">
        <v>187</v>
      </c>
      <c r="B188" s="5" t="s">
        <v>222</v>
      </c>
      <c r="C188" s="5">
        <v>51</v>
      </c>
      <c r="D188" s="12" t="str">
        <f t="shared" si="6"/>
        <v>Senior</v>
      </c>
      <c r="E188" s="5" t="s">
        <v>23</v>
      </c>
      <c r="F188" s="5" t="s">
        <v>45</v>
      </c>
      <c r="G188" s="5" t="s">
        <v>25</v>
      </c>
      <c r="H188" s="5" t="s">
        <v>29</v>
      </c>
      <c r="I188" s="5">
        <v>4</v>
      </c>
      <c r="J188" s="12" t="str">
        <f t="shared" si="7"/>
        <v>Junior</v>
      </c>
      <c r="K188" s="5">
        <v>1187</v>
      </c>
      <c r="L188" s="5">
        <v>5187</v>
      </c>
      <c r="M188" s="5">
        <v>117798</v>
      </c>
      <c r="N188" s="5" t="s">
        <v>38</v>
      </c>
      <c r="O188" s="5">
        <v>23</v>
      </c>
      <c r="P188" s="5">
        <v>4</v>
      </c>
      <c r="Q188" s="15" t="str">
        <f t="shared" si="8"/>
        <v>Excellent</v>
      </c>
      <c r="R188" s="6" t="s">
        <v>36</v>
      </c>
    </row>
    <row r="189" spans="1:18" x14ac:dyDescent="0.3">
      <c r="A189" s="4">
        <v>188</v>
      </c>
      <c r="B189" s="5" t="s">
        <v>223</v>
      </c>
      <c r="C189" s="5">
        <v>23</v>
      </c>
      <c r="D189" s="12" t="str">
        <f t="shared" si="6"/>
        <v>Young</v>
      </c>
      <c r="E189" s="5" t="s">
        <v>16</v>
      </c>
      <c r="F189" s="5" t="s">
        <v>43</v>
      </c>
      <c r="G189" s="5" t="s">
        <v>46</v>
      </c>
      <c r="H189" s="5" t="s">
        <v>29</v>
      </c>
      <c r="I189" s="5">
        <v>19</v>
      </c>
      <c r="J189" s="12" t="str">
        <f t="shared" si="7"/>
        <v>Expert</v>
      </c>
      <c r="K189" s="5">
        <v>1188</v>
      </c>
      <c r="L189" s="5">
        <v>5188</v>
      </c>
      <c r="M189" s="5">
        <v>116894</v>
      </c>
      <c r="N189" s="5" t="s">
        <v>20</v>
      </c>
      <c r="O189" s="5">
        <v>32</v>
      </c>
      <c r="P189" s="5">
        <v>1</v>
      </c>
      <c r="Q189" s="15" t="str">
        <f t="shared" si="8"/>
        <v>Poor</v>
      </c>
      <c r="R189" s="6" t="s">
        <v>21</v>
      </c>
    </row>
    <row r="190" spans="1:18" x14ac:dyDescent="0.3">
      <c r="A190" s="4">
        <v>189</v>
      </c>
      <c r="B190" s="5" t="s">
        <v>224</v>
      </c>
      <c r="C190" s="5">
        <v>30</v>
      </c>
      <c r="D190" s="12" t="str">
        <f t="shared" si="6"/>
        <v>Young</v>
      </c>
      <c r="E190" s="5" t="s">
        <v>16</v>
      </c>
      <c r="F190" s="5" t="s">
        <v>43</v>
      </c>
      <c r="G190" s="5" t="s">
        <v>25</v>
      </c>
      <c r="H190" s="5" t="s">
        <v>19</v>
      </c>
      <c r="I190" s="5">
        <v>7</v>
      </c>
      <c r="J190" s="12" t="str">
        <f t="shared" si="7"/>
        <v>Mid-level</v>
      </c>
      <c r="K190" s="5">
        <v>1189</v>
      </c>
      <c r="L190" s="5">
        <v>5189</v>
      </c>
      <c r="M190" s="5">
        <v>34289</v>
      </c>
      <c r="N190" s="5" t="s">
        <v>20</v>
      </c>
      <c r="O190" s="5">
        <v>62</v>
      </c>
      <c r="P190" s="5">
        <v>1</v>
      </c>
      <c r="Q190" s="15" t="str">
        <f t="shared" si="8"/>
        <v>Poor</v>
      </c>
      <c r="R190" s="6" t="s">
        <v>40</v>
      </c>
    </row>
    <row r="191" spans="1:18" x14ac:dyDescent="0.3">
      <c r="A191" s="4">
        <v>190</v>
      </c>
      <c r="B191" s="5" t="s">
        <v>225</v>
      </c>
      <c r="C191" s="5">
        <v>36</v>
      </c>
      <c r="D191" s="12" t="str">
        <f t="shared" si="6"/>
        <v>Mid Age</v>
      </c>
      <c r="E191" s="5" t="s">
        <v>23</v>
      </c>
      <c r="F191" s="5" t="s">
        <v>24</v>
      </c>
      <c r="G191" s="5" t="s">
        <v>33</v>
      </c>
      <c r="H191" s="5" t="s">
        <v>29</v>
      </c>
      <c r="I191" s="5">
        <v>11</v>
      </c>
      <c r="J191" s="12" t="str">
        <f t="shared" si="7"/>
        <v>Senior</v>
      </c>
      <c r="K191" s="5">
        <v>1190</v>
      </c>
      <c r="L191" s="5">
        <v>5190</v>
      </c>
      <c r="M191" s="5">
        <v>27927</v>
      </c>
      <c r="N191" s="5" t="s">
        <v>20</v>
      </c>
      <c r="O191" s="5">
        <v>74</v>
      </c>
      <c r="P191" s="5">
        <v>2</v>
      </c>
      <c r="Q191" s="15" t="str">
        <f t="shared" si="8"/>
        <v>Average</v>
      </c>
      <c r="R191" s="6" t="s">
        <v>31</v>
      </c>
    </row>
    <row r="192" spans="1:18" x14ac:dyDescent="0.3">
      <c r="A192" s="4">
        <v>191</v>
      </c>
      <c r="B192" s="5" t="s">
        <v>226</v>
      </c>
      <c r="C192" s="5">
        <v>57</v>
      </c>
      <c r="D192" s="12" t="str">
        <f t="shared" si="6"/>
        <v>Senior</v>
      </c>
      <c r="E192" s="5" t="s">
        <v>16</v>
      </c>
      <c r="F192" s="5" t="s">
        <v>24</v>
      </c>
      <c r="G192" s="5" t="s">
        <v>18</v>
      </c>
      <c r="H192" s="5" t="s">
        <v>29</v>
      </c>
      <c r="I192" s="5">
        <v>0</v>
      </c>
      <c r="J192" s="12" t="str">
        <f t="shared" si="7"/>
        <v>Beginner</v>
      </c>
      <c r="K192" s="5">
        <v>1191</v>
      </c>
      <c r="L192" s="5">
        <v>5191</v>
      </c>
      <c r="M192" s="5">
        <v>68330</v>
      </c>
      <c r="N192" s="5" t="s">
        <v>20</v>
      </c>
      <c r="O192" s="5">
        <v>10</v>
      </c>
      <c r="P192" s="5">
        <v>4</v>
      </c>
      <c r="Q192" s="15" t="str">
        <f t="shared" si="8"/>
        <v>Excellent</v>
      </c>
      <c r="R192" s="6" t="s">
        <v>21</v>
      </c>
    </row>
    <row r="193" spans="1:18" x14ac:dyDescent="0.3">
      <c r="A193" s="4">
        <v>192</v>
      </c>
      <c r="B193" s="5" t="s">
        <v>227</v>
      </c>
      <c r="C193" s="5">
        <v>43</v>
      </c>
      <c r="D193" s="12" t="str">
        <f t="shared" si="6"/>
        <v>Elder</v>
      </c>
      <c r="E193" s="5" t="s">
        <v>16</v>
      </c>
      <c r="F193" s="5" t="s">
        <v>45</v>
      </c>
      <c r="G193" s="5" t="s">
        <v>33</v>
      </c>
      <c r="H193" s="5" t="s">
        <v>29</v>
      </c>
      <c r="I193" s="5">
        <v>19</v>
      </c>
      <c r="J193" s="12" t="str">
        <f t="shared" si="7"/>
        <v>Expert</v>
      </c>
      <c r="K193" s="5">
        <v>1192</v>
      </c>
      <c r="L193" s="5">
        <v>5192</v>
      </c>
      <c r="M193" s="5">
        <v>86707</v>
      </c>
      <c r="N193" s="5" t="s">
        <v>38</v>
      </c>
      <c r="O193" s="5">
        <v>72</v>
      </c>
      <c r="P193" s="5">
        <v>3</v>
      </c>
      <c r="Q193" s="15" t="str">
        <f t="shared" si="8"/>
        <v>Good</v>
      </c>
      <c r="R193" s="6" t="s">
        <v>31</v>
      </c>
    </row>
    <row r="194" spans="1:18" x14ac:dyDescent="0.3">
      <c r="A194" s="4">
        <v>193</v>
      </c>
      <c r="B194" s="5" t="s">
        <v>228</v>
      </c>
      <c r="C194" s="5">
        <v>24</v>
      </c>
      <c r="D194" s="12" t="str">
        <f t="shared" ref="D194:D257" si="9">IF(AND(C194&gt;=20,C194&lt;=30),"Young",IF(AND(C194&gt;30,C194&lt;=40),"Mid Age",IF(AND(C194&gt;40,C194&lt;=50),"Elder",IF(AND(C194&gt;50,C194&lt;=59),"Senior","Other"))))</f>
        <v>Young</v>
      </c>
      <c r="E194" s="5" t="s">
        <v>23</v>
      </c>
      <c r="F194" s="5" t="s">
        <v>17</v>
      </c>
      <c r="G194" s="5" t="s">
        <v>18</v>
      </c>
      <c r="H194" s="5" t="s">
        <v>29</v>
      </c>
      <c r="I194" s="5">
        <v>5</v>
      </c>
      <c r="J194" s="12" t="str">
        <f t="shared" ref="J194:J257" si="10">IF(I194&lt;=2,"Beginner",IF(I194&lt;=5,"Junior",IF(I194&lt;=10,"Mid-level",IF(I194&lt;=15,"Senior","Expert"))))</f>
        <v>Junior</v>
      </c>
      <c r="K194" s="5">
        <v>1193</v>
      </c>
      <c r="L194" s="5">
        <v>5193</v>
      </c>
      <c r="M194" s="5">
        <v>97454</v>
      </c>
      <c r="N194" s="5" t="s">
        <v>20</v>
      </c>
      <c r="O194" s="5">
        <v>54</v>
      </c>
      <c r="P194" s="5">
        <v>2</v>
      </c>
      <c r="Q194" s="15" t="str">
        <f t="shared" ref="Q194:Q257" si="11">IF(P194=1,"Poor",IF(P194=2,"Average",IF(P194=3,"Good",IF(P194=4,"Excellent","Unknown"))))</f>
        <v>Average</v>
      </c>
      <c r="R194" s="6" t="s">
        <v>31</v>
      </c>
    </row>
    <row r="195" spans="1:18" x14ac:dyDescent="0.3">
      <c r="A195" s="4">
        <v>194</v>
      </c>
      <c r="B195" s="5" t="s">
        <v>229</v>
      </c>
      <c r="C195" s="5">
        <v>53</v>
      </c>
      <c r="D195" s="12" t="str">
        <f t="shared" si="9"/>
        <v>Senior</v>
      </c>
      <c r="E195" s="5" t="s">
        <v>23</v>
      </c>
      <c r="F195" s="5" t="s">
        <v>43</v>
      </c>
      <c r="G195" s="5" t="s">
        <v>25</v>
      </c>
      <c r="H195" s="5" t="s">
        <v>19</v>
      </c>
      <c r="I195" s="5">
        <v>17</v>
      </c>
      <c r="J195" s="12" t="str">
        <f t="shared" si="10"/>
        <v>Expert</v>
      </c>
      <c r="K195" s="5">
        <v>1194</v>
      </c>
      <c r="L195" s="5">
        <v>5194</v>
      </c>
      <c r="M195" s="5">
        <v>85428</v>
      </c>
      <c r="N195" s="5" t="s">
        <v>27</v>
      </c>
      <c r="O195" s="5">
        <v>52</v>
      </c>
      <c r="P195" s="5">
        <v>4</v>
      </c>
      <c r="Q195" s="15" t="str">
        <f t="shared" si="11"/>
        <v>Excellent</v>
      </c>
      <c r="R195" s="6" t="s">
        <v>40</v>
      </c>
    </row>
    <row r="196" spans="1:18" x14ac:dyDescent="0.3">
      <c r="A196" s="4">
        <v>195</v>
      </c>
      <c r="B196" s="5" t="s">
        <v>230</v>
      </c>
      <c r="C196" s="5">
        <v>25</v>
      </c>
      <c r="D196" s="12" t="str">
        <f t="shared" si="9"/>
        <v>Young</v>
      </c>
      <c r="E196" s="5" t="s">
        <v>16</v>
      </c>
      <c r="F196" s="5" t="s">
        <v>43</v>
      </c>
      <c r="G196" s="5" t="s">
        <v>33</v>
      </c>
      <c r="H196" s="5" t="s">
        <v>29</v>
      </c>
      <c r="I196" s="5">
        <v>7</v>
      </c>
      <c r="J196" s="12" t="str">
        <f t="shared" si="10"/>
        <v>Mid-level</v>
      </c>
      <c r="K196" s="5">
        <v>1195</v>
      </c>
      <c r="L196" s="5">
        <v>5195</v>
      </c>
      <c r="M196" s="5">
        <v>70601</v>
      </c>
      <c r="N196" s="5" t="s">
        <v>27</v>
      </c>
      <c r="O196" s="5">
        <v>20</v>
      </c>
      <c r="P196" s="5">
        <v>3</v>
      </c>
      <c r="Q196" s="15" t="str">
        <f t="shared" si="11"/>
        <v>Good</v>
      </c>
      <c r="R196" s="6" t="s">
        <v>21</v>
      </c>
    </row>
    <row r="197" spans="1:18" x14ac:dyDescent="0.3">
      <c r="A197" s="4">
        <v>196</v>
      </c>
      <c r="B197" s="5" t="s">
        <v>231</v>
      </c>
      <c r="C197" s="5">
        <v>41</v>
      </c>
      <c r="D197" s="12" t="str">
        <f t="shared" si="9"/>
        <v>Elder</v>
      </c>
      <c r="E197" s="5" t="s">
        <v>23</v>
      </c>
      <c r="F197" s="5" t="s">
        <v>45</v>
      </c>
      <c r="G197" s="5" t="s">
        <v>25</v>
      </c>
      <c r="H197" s="5" t="s">
        <v>29</v>
      </c>
      <c r="I197" s="5">
        <v>6</v>
      </c>
      <c r="J197" s="12" t="str">
        <f t="shared" si="10"/>
        <v>Mid-level</v>
      </c>
      <c r="K197" s="5">
        <v>1196</v>
      </c>
      <c r="L197" s="5">
        <v>5196</v>
      </c>
      <c r="M197" s="5">
        <v>97465</v>
      </c>
      <c r="N197" s="5" t="s">
        <v>27</v>
      </c>
      <c r="O197" s="5">
        <v>32</v>
      </c>
      <c r="P197" s="5">
        <v>2</v>
      </c>
      <c r="Q197" s="15" t="str">
        <f t="shared" si="11"/>
        <v>Average</v>
      </c>
      <c r="R197" s="6" t="s">
        <v>36</v>
      </c>
    </row>
    <row r="198" spans="1:18" x14ac:dyDescent="0.3">
      <c r="A198" s="4">
        <v>197</v>
      </c>
      <c r="B198" s="5" t="s">
        <v>232</v>
      </c>
      <c r="C198" s="5">
        <v>30</v>
      </c>
      <c r="D198" s="12" t="str">
        <f t="shared" si="9"/>
        <v>Young</v>
      </c>
      <c r="E198" s="5" t="s">
        <v>16</v>
      </c>
      <c r="F198" s="5" t="s">
        <v>24</v>
      </c>
      <c r="G198" s="5" t="s">
        <v>18</v>
      </c>
      <c r="H198" s="5" t="s">
        <v>19</v>
      </c>
      <c r="I198" s="5">
        <v>0</v>
      </c>
      <c r="J198" s="12" t="str">
        <f t="shared" si="10"/>
        <v>Beginner</v>
      </c>
      <c r="K198" s="5">
        <v>1197</v>
      </c>
      <c r="L198" s="5">
        <v>5197</v>
      </c>
      <c r="M198" s="5">
        <v>22539</v>
      </c>
      <c r="N198" s="5" t="s">
        <v>27</v>
      </c>
      <c r="O198" s="5">
        <v>14</v>
      </c>
      <c r="P198" s="5">
        <v>4</v>
      </c>
      <c r="Q198" s="15" t="str">
        <f t="shared" si="11"/>
        <v>Excellent</v>
      </c>
      <c r="R198" s="6" t="s">
        <v>31</v>
      </c>
    </row>
    <row r="199" spans="1:18" x14ac:dyDescent="0.3">
      <c r="A199" s="4">
        <v>198</v>
      </c>
      <c r="B199" s="5" t="s">
        <v>233</v>
      </c>
      <c r="C199" s="5">
        <v>35</v>
      </c>
      <c r="D199" s="12" t="str">
        <f t="shared" si="9"/>
        <v>Mid Age</v>
      </c>
      <c r="E199" s="5" t="s">
        <v>16</v>
      </c>
      <c r="F199" s="5" t="s">
        <v>17</v>
      </c>
      <c r="G199" s="5" t="s">
        <v>46</v>
      </c>
      <c r="H199" s="5" t="s">
        <v>26</v>
      </c>
      <c r="I199" s="5">
        <v>15</v>
      </c>
      <c r="J199" s="12" t="str">
        <f t="shared" si="10"/>
        <v>Senior</v>
      </c>
      <c r="K199" s="5">
        <v>1198</v>
      </c>
      <c r="L199" s="5">
        <v>5198</v>
      </c>
      <c r="M199" s="5">
        <v>42669</v>
      </c>
      <c r="N199" s="5" t="s">
        <v>20</v>
      </c>
      <c r="O199" s="5">
        <v>50</v>
      </c>
      <c r="P199" s="5">
        <v>1</v>
      </c>
      <c r="Q199" s="15" t="str">
        <f t="shared" si="11"/>
        <v>Poor</v>
      </c>
      <c r="R199" s="6" t="s">
        <v>31</v>
      </c>
    </row>
    <row r="200" spans="1:18" x14ac:dyDescent="0.3">
      <c r="A200" s="4">
        <v>199</v>
      </c>
      <c r="B200" s="5" t="s">
        <v>234</v>
      </c>
      <c r="C200" s="5">
        <v>52</v>
      </c>
      <c r="D200" s="12" t="str">
        <f t="shared" si="9"/>
        <v>Senior</v>
      </c>
      <c r="E200" s="5" t="s">
        <v>16</v>
      </c>
      <c r="F200" s="5" t="s">
        <v>24</v>
      </c>
      <c r="G200" s="5" t="s">
        <v>46</v>
      </c>
      <c r="H200" s="5" t="s">
        <v>19</v>
      </c>
      <c r="I200" s="5">
        <v>11</v>
      </c>
      <c r="J200" s="12" t="str">
        <f t="shared" si="10"/>
        <v>Senior</v>
      </c>
      <c r="K200" s="5">
        <v>1199</v>
      </c>
      <c r="L200" s="5">
        <v>5199</v>
      </c>
      <c r="M200" s="5">
        <v>90968</v>
      </c>
      <c r="N200" s="5" t="s">
        <v>27</v>
      </c>
      <c r="O200" s="5">
        <v>28</v>
      </c>
      <c r="P200" s="5">
        <v>1</v>
      </c>
      <c r="Q200" s="15" t="str">
        <f t="shared" si="11"/>
        <v>Poor</v>
      </c>
      <c r="R200" s="6" t="s">
        <v>36</v>
      </c>
    </row>
    <row r="201" spans="1:18" x14ac:dyDescent="0.3">
      <c r="A201" s="4">
        <v>200</v>
      </c>
      <c r="B201" s="5" t="s">
        <v>235</v>
      </c>
      <c r="C201" s="5">
        <v>28</v>
      </c>
      <c r="D201" s="12" t="str">
        <f t="shared" si="9"/>
        <v>Young</v>
      </c>
      <c r="E201" s="5" t="s">
        <v>23</v>
      </c>
      <c r="F201" s="5" t="s">
        <v>24</v>
      </c>
      <c r="G201" s="5" t="s">
        <v>33</v>
      </c>
      <c r="H201" s="5" t="s">
        <v>26</v>
      </c>
      <c r="I201" s="5">
        <v>5</v>
      </c>
      <c r="J201" s="12" t="str">
        <f t="shared" si="10"/>
        <v>Junior</v>
      </c>
      <c r="K201" s="5">
        <v>1200</v>
      </c>
      <c r="L201" s="5">
        <v>5200</v>
      </c>
      <c r="M201" s="5">
        <v>40644</v>
      </c>
      <c r="N201" s="5" t="s">
        <v>20</v>
      </c>
      <c r="O201" s="5">
        <v>53</v>
      </c>
      <c r="P201" s="5">
        <v>4</v>
      </c>
      <c r="Q201" s="15" t="str">
        <f t="shared" si="11"/>
        <v>Excellent</v>
      </c>
      <c r="R201" s="6" t="s">
        <v>21</v>
      </c>
    </row>
    <row r="202" spans="1:18" x14ac:dyDescent="0.3">
      <c r="A202" s="4">
        <v>201</v>
      </c>
      <c r="B202" s="5" t="s">
        <v>236</v>
      </c>
      <c r="C202" s="5">
        <v>25</v>
      </c>
      <c r="D202" s="12" t="str">
        <f t="shared" si="9"/>
        <v>Young</v>
      </c>
      <c r="E202" s="5" t="s">
        <v>23</v>
      </c>
      <c r="F202" s="5" t="s">
        <v>24</v>
      </c>
      <c r="G202" s="5" t="s">
        <v>25</v>
      </c>
      <c r="H202" s="5" t="s">
        <v>19</v>
      </c>
      <c r="I202" s="5">
        <v>19</v>
      </c>
      <c r="J202" s="12" t="str">
        <f t="shared" si="10"/>
        <v>Expert</v>
      </c>
      <c r="K202" s="5">
        <v>1201</v>
      </c>
      <c r="L202" s="5">
        <v>5201</v>
      </c>
      <c r="M202" s="5">
        <v>38745</v>
      </c>
      <c r="N202" s="5" t="s">
        <v>38</v>
      </c>
      <c r="O202" s="5">
        <v>24</v>
      </c>
      <c r="P202" s="5">
        <v>1</v>
      </c>
      <c r="Q202" s="15" t="str">
        <f t="shared" si="11"/>
        <v>Poor</v>
      </c>
      <c r="R202" s="6" t="s">
        <v>31</v>
      </c>
    </row>
    <row r="203" spans="1:18" x14ac:dyDescent="0.3">
      <c r="A203" s="4">
        <v>202</v>
      </c>
      <c r="B203" s="5" t="s">
        <v>237</v>
      </c>
      <c r="C203" s="5">
        <v>35</v>
      </c>
      <c r="D203" s="12" t="str">
        <f t="shared" si="9"/>
        <v>Mid Age</v>
      </c>
      <c r="E203" s="5" t="s">
        <v>23</v>
      </c>
      <c r="F203" s="5" t="s">
        <v>24</v>
      </c>
      <c r="G203" s="5" t="s">
        <v>25</v>
      </c>
      <c r="H203" s="5" t="s">
        <v>19</v>
      </c>
      <c r="I203" s="5">
        <v>1</v>
      </c>
      <c r="J203" s="12" t="str">
        <f t="shared" si="10"/>
        <v>Beginner</v>
      </c>
      <c r="K203" s="5">
        <v>1202</v>
      </c>
      <c r="L203" s="5">
        <v>5202</v>
      </c>
      <c r="M203" s="5">
        <v>48228</v>
      </c>
      <c r="N203" s="5" t="s">
        <v>27</v>
      </c>
      <c r="O203" s="5">
        <v>79</v>
      </c>
      <c r="P203" s="5">
        <v>4</v>
      </c>
      <c r="Q203" s="15" t="str">
        <f t="shared" si="11"/>
        <v>Excellent</v>
      </c>
      <c r="R203" s="6" t="s">
        <v>31</v>
      </c>
    </row>
    <row r="204" spans="1:18" x14ac:dyDescent="0.3">
      <c r="A204" s="4">
        <v>203</v>
      </c>
      <c r="B204" s="5" t="s">
        <v>238</v>
      </c>
      <c r="C204" s="5">
        <v>48</v>
      </c>
      <c r="D204" s="12" t="str">
        <f t="shared" si="9"/>
        <v>Elder</v>
      </c>
      <c r="E204" s="5" t="s">
        <v>23</v>
      </c>
      <c r="F204" s="5" t="s">
        <v>43</v>
      </c>
      <c r="G204" s="5" t="s">
        <v>33</v>
      </c>
      <c r="H204" s="5" t="s">
        <v>29</v>
      </c>
      <c r="I204" s="5">
        <v>13</v>
      </c>
      <c r="J204" s="12" t="str">
        <f t="shared" si="10"/>
        <v>Senior</v>
      </c>
      <c r="K204" s="5">
        <v>1203</v>
      </c>
      <c r="L204" s="5">
        <v>5203</v>
      </c>
      <c r="M204" s="5">
        <v>54521</v>
      </c>
      <c r="N204" s="5" t="s">
        <v>30</v>
      </c>
      <c r="O204" s="5">
        <v>22</v>
      </c>
      <c r="P204" s="5">
        <v>3</v>
      </c>
      <c r="Q204" s="15" t="str">
        <f t="shared" si="11"/>
        <v>Good</v>
      </c>
      <c r="R204" s="6" t="s">
        <v>31</v>
      </c>
    </row>
    <row r="205" spans="1:18" x14ac:dyDescent="0.3">
      <c r="A205" s="4">
        <v>204</v>
      </c>
      <c r="B205" s="5" t="s">
        <v>239</v>
      </c>
      <c r="C205" s="5">
        <v>22</v>
      </c>
      <c r="D205" s="12" t="str">
        <f t="shared" si="9"/>
        <v>Young</v>
      </c>
      <c r="E205" s="5" t="s">
        <v>23</v>
      </c>
      <c r="F205" s="5" t="s">
        <v>43</v>
      </c>
      <c r="G205" s="5" t="s">
        <v>46</v>
      </c>
      <c r="H205" s="5" t="s">
        <v>26</v>
      </c>
      <c r="I205" s="5">
        <v>3</v>
      </c>
      <c r="J205" s="12" t="str">
        <f t="shared" si="10"/>
        <v>Junior</v>
      </c>
      <c r="K205" s="5">
        <v>1204</v>
      </c>
      <c r="L205" s="5">
        <v>5204</v>
      </c>
      <c r="M205" s="5">
        <v>117239</v>
      </c>
      <c r="N205" s="5" t="s">
        <v>27</v>
      </c>
      <c r="O205" s="5">
        <v>30</v>
      </c>
      <c r="P205" s="5">
        <v>4</v>
      </c>
      <c r="Q205" s="15" t="str">
        <f t="shared" si="11"/>
        <v>Excellent</v>
      </c>
      <c r="R205" s="6" t="s">
        <v>21</v>
      </c>
    </row>
    <row r="206" spans="1:18" x14ac:dyDescent="0.3">
      <c r="A206" s="4">
        <v>205</v>
      </c>
      <c r="B206" s="5" t="s">
        <v>240</v>
      </c>
      <c r="C206" s="5">
        <v>39</v>
      </c>
      <c r="D206" s="12" t="str">
        <f t="shared" si="9"/>
        <v>Mid Age</v>
      </c>
      <c r="E206" s="5" t="s">
        <v>16</v>
      </c>
      <c r="F206" s="5" t="s">
        <v>24</v>
      </c>
      <c r="G206" s="5" t="s">
        <v>18</v>
      </c>
      <c r="H206" s="5" t="s">
        <v>29</v>
      </c>
      <c r="I206" s="5">
        <v>0</v>
      </c>
      <c r="J206" s="12" t="str">
        <f t="shared" si="10"/>
        <v>Beginner</v>
      </c>
      <c r="K206" s="5">
        <v>1205</v>
      </c>
      <c r="L206" s="5">
        <v>5205</v>
      </c>
      <c r="M206" s="5">
        <v>46928</v>
      </c>
      <c r="N206" s="5" t="s">
        <v>27</v>
      </c>
      <c r="O206" s="5">
        <v>63</v>
      </c>
      <c r="P206" s="5">
        <v>3</v>
      </c>
      <c r="Q206" s="15" t="str">
        <f t="shared" si="11"/>
        <v>Good</v>
      </c>
      <c r="R206" s="6" t="s">
        <v>21</v>
      </c>
    </row>
    <row r="207" spans="1:18" x14ac:dyDescent="0.3">
      <c r="A207" s="4">
        <v>206</v>
      </c>
      <c r="B207" s="5" t="s">
        <v>241</v>
      </c>
      <c r="C207" s="5">
        <v>55</v>
      </c>
      <c r="D207" s="12" t="str">
        <f t="shared" si="9"/>
        <v>Senior</v>
      </c>
      <c r="E207" s="5" t="s">
        <v>16</v>
      </c>
      <c r="F207" s="5" t="s">
        <v>17</v>
      </c>
      <c r="G207" s="5" t="s">
        <v>33</v>
      </c>
      <c r="H207" s="5" t="s">
        <v>26</v>
      </c>
      <c r="I207" s="5">
        <v>17</v>
      </c>
      <c r="J207" s="12" t="str">
        <f t="shared" si="10"/>
        <v>Expert</v>
      </c>
      <c r="K207" s="5">
        <v>1206</v>
      </c>
      <c r="L207" s="5">
        <v>5206</v>
      </c>
      <c r="M207" s="5">
        <v>38322</v>
      </c>
      <c r="N207" s="5" t="s">
        <v>20</v>
      </c>
      <c r="O207" s="5">
        <v>4</v>
      </c>
      <c r="P207" s="5">
        <v>2</v>
      </c>
      <c r="Q207" s="15" t="str">
        <f t="shared" si="11"/>
        <v>Average</v>
      </c>
      <c r="R207" s="6" t="s">
        <v>36</v>
      </c>
    </row>
    <row r="208" spans="1:18" x14ac:dyDescent="0.3">
      <c r="A208" s="4">
        <v>207</v>
      </c>
      <c r="B208" s="5" t="s">
        <v>242</v>
      </c>
      <c r="C208" s="5">
        <v>38</v>
      </c>
      <c r="D208" s="12" t="str">
        <f t="shared" si="9"/>
        <v>Mid Age</v>
      </c>
      <c r="E208" s="5" t="s">
        <v>16</v>
      </c>
      <c r="F208" s="5" t="s">
        <v>45</v>
      </c>
      <c r="G208" s="5" t="s">
        <v>18</v>
      </c>
      <c r="H208" s="5" t="s">
        <v>19</v>
      </c>
      <c r="I208" s="5">
        <v>12</v>
      </c>
      <c r="J208" s="12" t="str">
        <f t="shared" si="10"/>
        <v>Senior</v>
      </c>
      <c r="K208" s="5">
        <v>1207</v>
      </c>
      <c r="L208" s="5">
        <v>5207</v>
      </c>
      <c r="M208" s="5">
        <v>77714</v>
      </c>
      <c r="N208" s="5" t="s">
        <v>27</v>
      </c>
      <c r="O208" s="5">
        <v>77</v>
      </c>
      <c r="P208" s="5">
        <v>4</v>
      </c>
      <c r="Q208" s="15" t="str">
        <f t="shared" si="11"/>
        <v>Excellent</v>
      </c>
      <c r="R208" s="6" t="s">
        <v>21</v>
      </c>
    </row>
    <row r="209" spans="1:18" x14ac:dyDescent="0.3">
      <c r="A209" s="4">
        <v>208</v>
      </c>
      <c r="B209" s="5" t="s">
        <v>243</v>
      </c>
      <c r="C209" s="5">
        <v>45</v>
      </c>
      <c r="D209" s="12" t="str">
        <f t="shared" si="9"/>
        <v>Elder</v>
      </c>
      <c r="E209" s="5" t="s">
        <v>16</v>
      </c>
      <c r="F209" s="5" t="s">
        <v>17</v>
      </c>
      <c r="G209" s="5" t="s">
        <v>46</v>
      </c>
      <c r="H209" s="5" t="s">
        <v>19</v>
      </c>
      <c r="I209" s="5">
        <v>1</v>
      </c>
      <c r="J209" s="12" t="str">
        <f t="shared" si="10"/>
        <v>Beginner</v>
      </c>
      <c r="K209" s="5">
        <v>1208</v>
      </c>
      <c r="L209" s="5">
        <v>5208</v>
      </c>
      <c r="M209" s="5">
        <v>107896</v>
      </c>
      <c r="N209" s="5" t="s">
        <v>30</v>
      </c>
      <c r="O209" s="5">
        <v>59</v>
      </c>
      <c r="P209" s="5">
        <v>2</v>
      </c>
      <c r="Q209" s="15" t="str">
        <f t="shared" si="11"/>
        <v>Average</v>
      </c>
      <c r="R209" s="6" t="s">
        <v>21</v>
      </c>
    </row>
    <row r="210" spans="1:18" x14ac:dyDescent="0.3">
      <c r="A210" s="4">
        <v>209</v>
      </c>
      <c r="B210" s="5" t="s">
        <v>244</v>
      </c>
      <c r="C210" s="5">
        <v>22</v>
      </c>
      <c r="D210" s="12" t="str">
        <f t="shared" si="9"/>
        <v>Young</v>
      </c>
      <c r="E210" s="5" t="s">
        <v>23</v>
      </c>
      <c r="F210" s="5" t="s">
        <v>17</v>
      </c>
      <c r="G210" s="5" t="s">
        <v>25</v>
      </c>
      <c r="H210" s="5" t="s">
        <v>26</v>
      </c>
      <c r="I210" s="5">
        <v>8</v>
      </c>
      <c r="J210" s="12" t="str">
        <f t="shared" si="10"/>
        <v>Mid-level</v>
      </c>
      <c r="K210" s="5">
        <v>1209</v>
      </c>
      <c r="L210" s="5">
        <v>5209</v>
      </c>
      <c r="M210" s="5">
        <v>82292</v>
      </c>
      <c r="N210" s="5" t="s">
        <v>20</v>
      </c>
      <c r="O210" s="5">
        <v>87</v>
      </c>
      <c r="P210" s="5">
        <v>1</v>
      </c>
      <c r="Q210" s="15" t="str">
        <f t="shared" si="11"/>
        <v>Poor</v>
      </c>
      <c r="R210" s="6" t="s">
        <v>40</v>
      </c>
    </row>
    <row r="211" spans="1:18" x14ac:dyDescent="0.3">
      <c r="A211" s="4">
        <v>210</v>
      </c>
      <c r="B211" s="5" t="s">
        <v>245</v>
      </c>
      <c r="C211" s="5">
        <v>38</v>
      </c>
      <c r="D211" s="12" t="str">
        <f t="shared" si="9"/>
        <v>Mid Age</v>
      </c>
      <c r="E211" s="5" t="s">
        <v>16</v>
      </c>
      <c r="F211" s="5" t="s">
        <v>17</v>
      </c>
      <c r="G211" s="5" t="s">
        <v>46</v>
      </c>
      <c r="H211" s="5" t="s">
        <v>29</v>
      </c>
      <c r="I211" s="5">
        <v>1</v>
      </c>
      <c r="J211" s="12" t="str">
        <f t="shared" si="10"/>
        <v>Beginner</v>
      </c>
      <c r="K211" s="5">
        <v>1210</v>
      </c>
      <c r="L211" s="5">
        <v>5210</v>
      </c>
      <c r="M211" s="5">
        <v>49055</v>
      </c>
      <c r="N211" s="5" t="s">
        <v>20</v>
      </c>
      <c r="O211" s="5">
        <v>8</v>
      </c>
      <c r="P211" s="5">
        <v>3</v>
      </c>
      <c r="Q211" s="15" t="str">
        <f t="shared" si="11"/>
        <v>Good</v>
      </c>
      <c r="R211" s="6" t="s">
        <v>36</v>
      </c>
    </row>
    <row r="212" spans="1:18" x14ac:dyDescent="0.3">
      <c r="A212" s="4">
        <v>211</v>
      </c>
      <c r="B212" s="5" t="s">
        <v>246</v>
      </c>
      <c r="C212" s="5">
        <v>39</v>
      </c>
      <c r="D212" s="12" t="str">
        <f t="shared" si="9"/>
        <v>Mid Age</v>
      </c>
      <c r="E212" s="5" t="s">
        <v>23</v>
      </c>
      <c r="F212" s="5" t="s">
        <v>24</v>
      </c>
      <c r="G212" s="5" t="s">
        <v>33</v>
      </c>
      <c r="H212" s="5" t="s">
        <v>29</v>
      </c>
      <c r="I212" s="5">
        <v>8</v>
      </c>
      <c r="J212" s="12" t="str">
        <f t="shared" si="10"/>
        <v>Mid-level</v>
      </c>
      <c r="K212" s="5">
        <v>1211</v>
      </c>
      <c r="L212" s="5">
        <v>5211</v>
      </c>
      <c r="M212" s="5">
        <v>62891</v>
      </c>
      <c r="N212" s="5" t="s">
        <v>38</v>
      </c>
      <c r="O212" s="5">
        <v>82</v>
      </c>
      <c r="P212" s="5">
        <v>4</v>
      </c>
      <c r="Q212" s="15" t="str">
        <f t="shared" si="11"/>
        <v>Excellent</v>
      </c>
      <c r="R212" s="6" t="s">
        <v>31</v>
      </c>
    </row>
    <row r="213" spans="1:18" x14ac:dyDescent="0.3">
      <c r="A213" s="4">
        <v>212</v>
      </c>
      <c r="B213" s="5" t="s">
        <v>247</v>
      </c>
      <c r="C213" s="5">
        <v>51</v>
      </c>
      <c r="D213" s="12" t="str">
        <f t="shared" si="9"/>
        <v>Senior</v>
      </c>
      <c r="E213" s="5" t="s">
        <v>16</v>
      </c>
      <c r="F213" s="5" t="s">
        <v>43</v>
      </c>
      <c r="G213" s="5" t="s">
        <v>25</v>
      </c>
      <c r="H213" s="5" t="s">
        <v>29</v>
      </c>
      <c r="I213" s="5">
        <v>0</v>
      </c>
      <c r="J213" s="12" t="str">
        <f t="shared" si="10"/>
        <v>Beginner</v>
      </c>
      <c r="K213" s="5">
        <v>1212</v>
      </c>
      <c r="L213" s="5">
        <v>5212</v>
      </c>
      <c r="M213" s="5">
        <v>101912</v>
      </c>
      <c r="N213" s="5" t="s">
        <v>38</v>
      </c>
      <c r="O213" s="5">
        <v>12</v>
      </c>
      <c r="P213" s="5">
        <v>2</v>
      </c>
      <c r="Q213" s="15" t="str">
        <f t="shared" si="11"/>
        <v>Average</v>
      </c>
      <c r="R213" s="6" t="s">
        <v>21</v>
      </c>
    </row>
    <row r="214" spans="1:18" x14ac:dyDescent="0.3">
      <c r="A214" s="4">
        <v>213</v>
      </c>
      <c r="B214" s="5" t="s">
        <v>248</v>
      </c>
      <c r="C214" s="5">
        <v>26</v>
      </c>
      <c r="D214" s="12" t="str">
        <f t="shared" si="9"/>
        <v>Young</v>
      </c>
      <c r="E214" s="5" t="s">
        <v>23</v>
      </c>
      <c r="F214" s="5" t="s">
        <v>17</v>
      </c>
      <c r="G214" s="5" t="s">
        <v>33</v>
      </c>
      <c r="H214" s="5" t="s">
        <v>29</v>
      </c>
      <c r="I214" s="5">
        <v>10</v>
      </c>
      <c r="J214" s="12" t="str">
        <f t="shared" si="10"/>
        <v>Mid-level</v>
      </c>
      <c r="K214" s="5">
        <v>1213</v>
      </c>
      <c r="L214" s="5">
        <v>5213</v>
      </c>
      <c r="M214" s="5">
        <v>26588</v>
      </c>
      <c r="N214" s="5" t="s">
        <v>27</v>
      </c>
      <c r="O214" s="5">
        <v>31</v>
      </c>
      <c r="P214" s="5">
        <v>3</v>
      </c>
      <c r="Q214" s="15" t="str">
        <f t="shared" si="11"/>
        <v>Good</v>
      </c>
      <c r="R214" s="6" t="s">
        <v>31</v>
      </c>
    </row>
    <row r="215" spans="1:18" x14ac:dyDescent="0.3">
      <c r="A215" s="4">
        <v>214</v>
      </c>
      <c r="B215" s="5" t="s">
        <v>249</v>
      </c>
      <c r="C215" s="5">
        <v>52</v>
      </c>
      <c r="D215" s="12" t="str">
        <f t="shared" si="9"/>
        <v>Senior</v>
      </c>
      <c r="E215" s="5" t="s">
        <v>23</v>
      </c>
      <c r="F215" s="5" t="s">
        <v>24</v>
      </c>
      <c r="G215" s="5" t="s">
        <v>33</v>
      </c>
      <c r="H215" s="5" t="s">
        <v>19</v>
      </c>
      <c r="I215" s="5">
        <v>2</v>
      </c>
      <c r="J215" s="12" t="str">
        <f t="shared" si="10"/>
        <v>Beginner</v>
      </c>
      <c r="K215" s="5">
        <v>1214</v>
      </c>
      <c r="L215" s="5">
        <v>5214</v>
      </c>
      <c r="M215" s="5">
        <v>110536</v>
      </c>
      <c r="N215" s="5" t="s">
        <v>38</v>
      </c>
      <c r="O215" s="5">
        <v>78</v>
      </c>
      <c r="P215" s="5">
        <v>3</v>
      </c>
      <c r="Q215" s="15" t="str">
        <f t="shared" si="11"/>
        <v>Good</v>
      </c>
      <c r="R215" s="6" t="s">
        <v>31</v>
      </c>
    </row>
    <row r="216" spans="1:18" x14ac:dyDescent="0.3">
      <c r="A216" s="4">
        <v>215</v>
      </c>
      <c r="B216" s="5" t="s">
        <v>250</v>
      </c>
      <c r="C216" s="5">
        <v>59</v>
      </c>
      <c r="D216" s="12" t="str">
        <f t="shared" si="9"/>
        <v>Senior</v>
      </c>
      <c r="E216" s="5" t="s">
        <v>16</v>
      </c>
      <c r="F216" s="5" t="s">
        <v>17</v>
      </c>
      <c r="G216" s="5" t="s">
        <v>46</v>
      </c>
      <c r="H216" s="5" t="s">
        <v>19</v>
      </c>
      <c r="I216" s="5">
        <v>19</v>
      </c>
      <c r="J216" s="12" t="str">
        <f t="shared" si="10"/>
        <v>Expert</v>
      </c>
      <c r="K216" s="5">
        <v>1215</v>
      </c>
      <c r="L216" s="5">
        <v>5215</v>
      </c>
      <c r="M216" s="5">
        <v>26304</v>
      </c>
      <c r="N216" s="5" t="s">
        <v>38</v>
      </c>
      <c r="O216" s="5">
        <v>34</v>
      </c>
      <c r="P216" s="5">
        <v>1</v>
      </c>
      <c r="Q216" s="15" t="str">
        <f t="shared" si="11"/>
        <v>Poor</v>
      </c>
      <c r="R216" s="6" t="s">
        <v>40</v>
      </c>
    </row>
    <row r="217" spans="1:18" x14ac:dyDescent="0.3">
      <c r="A217" s="4">
        <v>216</v>
      </c>
      <c r="B217" s="5" t="s">
        <v>251</v>
      </c>
      <c r="C217" s="5">
        <v>58</v>
      </c>
      <c r="D217" s="12" t="str">
        <f t="shared" si="9"/>
        <v>Senior</v>
      </c>
      <c r="E217" s="5" t="s">
        <v>16</v>
      </c>
      <c r="F217" s="5" t="s">
        <v>17</v>
      </c>
      <c r="G217" s="5" t="s">
        <v>33</v>
      </c>
      <c r="H217" s="5" t="s">
        <v>19</v>
      </c>
      <c r="I217" s="5">
        <v>3</v>
      </c>
      <c r="J217" s="12" t="str">
        <f t="shared" si="10"/>
        <v>Junior</v>
      </c>
      <c r="K217" s="5">
        <v>1216</v>
      </c>
      <c r="L217" s="5">
        <v>5216</v>
      </c>
      <c r="M217" s="5">
        <v>27345</v>
      </c>
      <c r="N217" s="5" t="s">
        <v>38</v>
      </c>
      <c r="O217" s="5">
        <v>82</v>
      </c>
      <c r="P217" s="5">
        <v>1</v>
      </c>
      <c r="Q217" s="15" t="str">
        <f t="shared" si="11"/>
        <v>Poor</v>
      </c>
      <c r="R217" s="6" t="s">
        <v>21</v>
      </c>
    </row>
    <row r="218" spans="1:18" x14ac:dyDescent="0.3">
      <c r="A218" s="4">
        <v>217</v>
      </c>
      <c r="B218" s="5" t="s">
        <v>252</v>
      </c>
      <c r="C218" s="5">
        <v>37</v>
      </c>
      <c r="D218" s="12" t="str">
        <f t="shared" si="9"/>
        <v>Mid Age</v>
      </c>
      <c r="E218" s="5" t="s">
        <v>16</v>
      </c>
      <c r="F218" s="5" t="s">
        <v>24</v>
      </c>
      <c r="G218" s="5" t="s">
        <v>46</v>
      </c>
      <c r="H218" s="5" t="s">
        <v>19</v>
      </c>
      <c r="I218" s="5">
        <v>17</v>
      </c>
      <c r="J218" s="12" t="str">
        <f t="shared" si="10"/>
        <v>Expert</v>
      </c>
      <c r="K218" s="5">
        <v>1217</v>
      </c>
      <c r="L218" s="5">
        <v>5217</v>
      </c>
      <c r="M218" s="5">
        <v>49300</v>
      </c>
      <c r="N218" s="5" t="s">
        <v>20</v>
      </c>
      <c r="O218" s="5">
        <v>98</v>
      </c>
      <c r="P218" s="5">
        <v>3</v>
      </c>
      <c r="Q218" s="15" t="str">
        <f t="shared" si="11"/>
        <v>Good</v>
      </c>
      <c r="R218" s="6" t="s">
        <v>36</v>
      </c>
    </row>
    <row r="219" spans="1:18" x14ac:dyDescent="0.3">
      <c r="A219" s="4">
        <v>218</v>
      </c>
      <c r="B219" s="5" t="s">
        <v>253</v>
      </c>
      <c r="C219" s="5">
        <v>59</v>
      </c>
      <c r="D219" s="12" t="str">
        <f t="shared" si="9"/>
        <v>Senior</v>
      </c>
      <c r="E219" s="5" t="s">
        <v>16</v>
      </c>
      <c r="F219" s="5" t="s">
        <v>43</v>
      </c>
      <c r="G219" s="5" t="s">
        <v>25</v>
      </c>
      <c r="H219" s="5" t="s">
        <v>19</v>
      </c>
      <c r="I219" s="5">
        <v>5</v>
      </c>
      <c r="J219" s="12" t="str">
        <f t="shared" si="10"/>
        <v>Junior</v>
      </c>
      <c r="K219" s="5">
        <v>1218</v>
      </c>
      <c r="L219" s="5">
        <v>5218</v>
      </c>
      <c r="M219" s="5">
        <v>44259</v>
      </c>
      <c r="N219" s="5" t="s">
        <v>20</v>
      </c>
      <c r="O219" s="5">
        <v>75</v>
      </c>
      <c r="P219" s="5">
        <v>3</v>
      </c>
      <c r="Q219" s="15" t="str">
        <f t="shared" si="11"/>
        <v>Good</v>
      </c>
      <c r="R219" s="6" t="s">
        <v>21</v>
      </c>
    </row>
    <row r="220" spans="1:18" x14ac:dyDescent="0.3">
      <c r="A220" s="4">
        <v>219</v>
      </c>
      <c r="B220" s="5" t="s">
        <v>254</v>
      </c>
      <c r="C220" s="5">
        <v>20</v>
      </c>
      <c r="D220" s="12" t="str">
        <f t="shared" si="9"/>
        <v>Young</v>
      </c>
      <c r="E220" s="5" t="s">
        <v>23</v>
      </c>
      <c r="F220" s="5" t="s">
        <v>43</v>
      </c>
      <c r="G220" s="5" t="s">
        <v>46</v>
      </c>
      <c r="H220" s="5" t="s">
        <v>29</v>
      </c>
      <c r="I220" s="5">
        <v>2</v>
      </c>
      <c r="J220" s="12" t="str">
        <f t="shared" si="10"/>
        <v>Beginner</v>
      </c>
      <c r="K220" s="5">
        <v>1219</v>
      </c>
      <c r="L220" s="5">
        <v>5219</v>
      </c>
      <c r="M220" s="5">
        <v>111006</v>
      </c>
      <c r="N220" s="5" t="s">
        <v>20</v>
      </c>
      <c r="O220" s="5">
        <v>76</v>
      </c>
      <c r="P220" s="5">
        <v>4</v>
      </c>
      <c r="Q220" s="15" t="str">
        <f t="shared" si="11"/>
        <v>Excellent</v>
      </c>
      <c r="R220" s="6" t="s">
        <v>31</v>
      </c>
    </row>
    <row r="221" spans="1:18" x14ac:dyDescent="0.3">
      <c r="A221" s="4">
        <v>220</v>
      </c>
      <c r="B221" s="5" t="s">
        <v>255</v>
      </c>
      <c r="C221" s="5">
        <v>30</v>
      </c>
      <c r="D221" s="12" t="str">
        <f t="shared" si="9"/>
        <v>Young</v>
      </c>
      <c r="E221" s="5" t="s">
        <v>16</v>
      </c>
      <c r="F221" s="5" t="s">
        <v>45</v>
      </c>
      <c r="G221" s="5" t="s">
        <v>25</v>
      </c>
      <c r="H221" s="5" t="s">
        <v>29</v>
      </c>
      <c r="I221" s="5">
        <v>10</v>
      </c>
      <c r="J221" s="12" t="str">
        <f t="shared" si="10"/>
        <v>Mid-level</v>
      </c>
      <c r="K221" s="5">
        <v>1220</v>
      </c>
      <c r="L221" s="5">
        <v>5220</v>
      </c>
      <c r="M221" s="5">
        <v>108553</v>
      </c>
      <c r="N221" s="5" t="s">
        <v>38</v>
      </c>
      <c r="O221" s="5">
        <v>49</v>
      </c>
      <c r="P221" s="5">
        <v>3</v>
      </c>
      <c r="Q221" s="15" t="str">
        <f t="shared" si="11"/>
        <v>Good</v>
      </c>
      <c r="R221" s="6" t="s">
        <v>36</v>
      </c>
    </row>
    <row r="222" spans="1:18" x14ac:dyDescent="0.3">
      <c r="A222" s="4">
        <v>221</v>
      </c>
      <c r="B222" s="5" t="s">
        <v>256</v>
      </c>
      <c r="C222" s="5">
        <v>47</v>
      </c>
      <c r="D222" s="12" t="str">
        <f t="shared" si="9"/>
        <v>Elder</v>
      </c>
      <c r="E222" s="5" t="s">
        <v>16</v>
      </c>
      <c r="F222" s="5" t="s">
        <v>24</v>
      </c>
      <c r="G222" s="5" t="s">
        <v>46</v>
      </c>
      <c r="H222" s="5" t="s">
        <v>29</v>
      </c>
      <c r="I222" s="5">
        <v>14</v>
      </c>
      <c r="J222" s="12" t="str">
        <f t="shared" si="10"/>
        <v>Senior</v>
      </c>
      <c r="K222" s="5">
        <v>1221</v>
      </c>
      <c r="L222" s="5">
        <v>5221</v>
      </c>
      <c r="M222" s="5">
        <v>35352</v>
      </c>
      <c r="N222" s="5" t="s">
        <v>20</v>
      </c>
      <c r="O222" s="5">
        <v>79</v>
      </c>
      <c r="P222" s="5">
        <v>4</v>
      </c>
      <c r="Q222" s="15" t="str">
        <f t="shared" si="11"/>
        <v>Excellent</v>
      </c>
      <c r="R222" s="6" t="s">
        <v>21</v>
      </c>
    </row>
    <row r="223" spans="1:18" x14ac:dyDescent="0.3">
      <c r="A223" s="4">
        <v>222</v>
      </c>
      <c r="B223" s="5" t="s">
        <v>257</v>
      </c>
      <c r="C223" s="5">
        <v>44</v>
      </c>
      <c r="D223" s="12" t="str">
        <f t="shared" si="9"/>
        <v>Elder</v>
      </c>
      <c r="E223" s="5" t="s">
        <v>23</v>
      </c>
      <c r="F223" s="5" t="s">
        <v>45</v>
      </c>
      <c r="G223" s="5" t="s">
        <v>18</v>
      </c>
      <c r="H223" s="5" t="s">
        <v>29</v>
      </c>
      <c r="I223" s="5">
        <v>4</v>
      </c>
      <c r="J223" s="12" t="str">
        <f t="shared" si="10"/>
        <v>Junior</v>
      </c>
      <c r="K223" s="5">
        <v>1222</v>
      </c>
      <c r="L223" s="5">
        <v>5222</v>
      </c>
      <c r="M223" s="5">
        <v>53365</v>
      </c>
      <c r="N223" s="5" t="s">
        <v>38</v>
      </c>
      <c r="O223" s="5">
        <v>57</v>
      </c>
      <c r="P223" s="5">
        <v>3</v>
      </c>
      <c r="Q223" s="15" t="str">
        <f t="shared" si="11"/>
        <v>Good</v>
      </c>
      <c r="R223" s="6" t="s">
        <v>31</v>
      </c>
    </row>
    <row r="224" spans="1:18" x14ac:dyDescent="0.3">
      <c r="A224" s="4">
        <v>223</v>
      </c>
      <c r="B224" s="5" t="s">
        <v>258</v>
      </c>
      <c r="C224" s="5">
        <v>42</v>
      </c>
      <c r="D224" s="12" t="str">
        <f t="shared" si="9"/>
        <v>Elder</v>
      </c>
      <c r="E224" s="5" t="s">
        <v>16</v>
      </c>
      <c r="F224" s="5" t="s">
        <v>45</v>
      </c>
      <c r="G224" s="5" t="s">
        <v>18</v>
      </c>
      <c r="H224" s="5" t="s">
        <v>19</v>
      </c>
      <c r="I224" s="5">
        <v>19</v>
      </c>
      <c r="J224" s="12" t="str">
        <f t="shared" si="10"/>
        <v>Expert</v>
      </c>
      <c r="K224" s="5">
        <v>1223</v>
      </c>
      <c r="L224" s="5">
        <v>5223</v>
      </c>
      <c r="M224" s="5">
        <v>39446</v>
      </c>
      <c r="N224" s="5" t="s">
        <v>20</v>
      </c>
      <c r="O224" s="5">
        <v>95</v>
      </c>
      <c r="P224" s="5">
        <v>1</v>
      </c>
      <c r="Q224" s="15" t="str">
        <f t="shared" si="11"/>
        <v>Poor</v>
      </c>
      <c r="R224" s="6" t="s">
        <v>31</v>
      </c>
    </row>
    <row r="225" spans="1:18" x14ac:dyDescent="0.3">
      <c r="A225" s="4">
        <v>224</v>
      </c>
      <c r="B225" s="5" t="s">
        <v>259</v>
      </c>
      <c r="C225" s="5">
        <v>50</v>
      </c>
      <c r="D225" s="12" t="str">
        <f t="shared" si="9"/>
        <v>Elder</v>
      </c>
      <c r="E225" s="5" t="s">
        <v>16</v>
      </c>
      <c r="F225" s="5" t="s">
        <v>45</v>
      </c>
      <c r="G225" s="5" t="s">
        <v>33</v>
      </c>
      <c r="H225" s="5" t="s">
        <v>19</v>
      </c>
      <c r="I225" s="5">
        <v>9</v>
      </c>
      <c r="J225" s="12" t="str">
        <f t="shared" si="10"/>
        <v>Mid-level</v>
      </c>
      <c r="K225" s="5">
        <v>1224</v>
      </c>
      <c r="L225" s="5">
        <v>5224</v>
      </c>
      <c r="M225" s="5">
        <v>22336</v>
      </c>
      <c r="N225" s="5" t="s">
        <v>20</v>
      </c>
      <c r="O225" s="5">
        <v>93</v>
      </c>
      <c r="P225" s="5">
        <v>4</v>
      </c>
      <c r="Q225" s="15" t="str">
        <f t="shared" si="11"/>
        <v>Excellent</v>
      </c>
      <c r="R225" s="6" t="s">
        <v>40</v>
      </c>
    </row>
    <row r="226" spans="1:18" x14ac:dyDescent="0.3">
      <c r="A226" s="4">
        <v>225</v>
      </c>
      <c r="B226" s="5" t="s">
        <v>260</v>
      </c>
      <c r="C226" s="5">
        <v>49</v>
      </c>
      <c r="D226" s="12" t="str">
        <f t="shared" si="9"/>
        <v>Elder</v>
      </c>
      <c r="E226" s="5" t="s">
        <v>16</v>
      </c>
      <c r="F226" s="5" t="s">
        <v>43</v>
      </c>
      <c r="G226" s="5" t="s">
        <v>46</v>
      </c>
      <c r="H226" s="5" t="s">
        <v>19</v>
      </c>
      <c r="I226" s="5">
        <v>11</v>
      </c>
      <c r="J226" s="12" t="str">
        <f t="shared" si="10"/>
        <v>Senior</v>
      </c>
      <c r="K226" s="5">
        <v>1225</v>
      </c>
      <c r="L226" s="5">
        <v>5225</v>
      </c>
      <c r="M226" s="5">
        <v>82032</v>
      </c>
      <c r="N226" s="5" t="s">
        <v>30</v>
      </c>
      <c r="O226" s="5">
        <v>26</v>
      </c>
      <c r="P226" s="5">
        <v>2</v>
      </c>
      <c r="Q226" s="15" t="str">
        <f t="shared" si="11"/>
        <v>Average</v>
      </c>
      <c r="R226" s="6" t="s">
        <v>40</v>
      </c>
    </row>
    <row r="227" spans="1:18" x14ac:dyDescent="0.3">
      <c r="A227" s="4">
        <v>226</v>
      </c>
      <c r="B227" s="5" t="s">
        <v>261</v>
      </c>
      <c r="C227" s="5">
        <v>54</v>
      </c>
      <c r="D227" s="12" t="str">
        <f t="shared" si="9"/>
        <v>Senior</v>
      </c>
      <c r="E227" s="5" t="s">
        <v>16</v>
      </c>
      <c r="F227" s="5" t="s">
        <v>24</v>
      </c>
      <c r="G227" s="5" t="s">
        <v>46</v>
      </c>
      <c r="H227" s="5" t="s">
        <v>26</v>
      </c>
      <c r="I227" s="5">
        <v>14</v>
      </c>
      <c r="J227" s="12" t="str">
        <f t="shared" si="10"/>
        <v>Senior</v>
      </c>
      <c r="K227" s="5">
        <v>1226</v>
      </c>
      <c r="L227" s="5">
        <v>5226</v>
      </c>
      <c r="M227" s="5">
        <v>95415</v>
      </c>
      <c r="N227" s="5" t="s">
        <v>27</v>
      </c>
      <c r="O227" s="5">
        <v>18</v>
      </c>
      <c r="P227" s="5">
        <v>1</v>
      </c>
      <c r="Q227" s="15" t="str">
        <f t="shared" si="11"/>
        <v>Poor</v>
      </c>
      <c r="R227" s="6" t="s">
        <v>40</v>
      </c>
    </row>
    <row r="228" spans="1:18" x14ac:dyDescent="0.3">
      <c r="A228" s="4">
        <v>227</v>
      </c>
      <c r="B228" s="5" t="s">
        <v>262</v>
      </c>
      <c r="C228" s="5">
        <v>26</v>
      </c>
      <c r="D228" s="12" t="str">
        <f t="shared" si="9"/>
        <v>Young</v>
      </c>
      <c r="E228" s="5" t="s">
        <v>16</v>
      </c>
      <c r="F228" s="5" t="s">
        <v>45</v>
      </c>
      <c r="G228" s="5" t="s">
        <v>25</v>
      </c>
      <c r="H228" s="5" t="s">
        <v>29</v>
      </c>
      <c r="I228" s="5">
        <v>16</v>
      </c>
      <c r="J228" s="12" t="str">
        <f t="shared" si="10"/>
        <v>Expert</v>
      </c>
      <c r="K228" s="5">
        <v>1227</v>
      </c>
      <c r="L228" s="5">
        <v>5227</v>
      </c>
      <c r="M228" s="5">
        <v>117852</v>
      </c>
      <c r="N228" s="5" t="s">
        <v>38</v>
      </c>
      <c r="O228" s="5">
        <v>96</v>
      </c>
      <c r="P228" s="5">
        <v>4</v>
      </c>
      <c r="Q228" s="15" t="str">
        <f t="shared" si="11"/>
        <v>Excellent</v>
      </c>
      <c r="R228" s="6" t="s">
        <v>31</v>
      </c>
    </row>
    <row r="229" spans="1:18" x14ac:dyDescent="0.3">
      <c r="A229" s="4">
        <v>228</v>
      </c>
      <c r="B229" s="5" t="s">
        <v>263</v>
      </c>
      <c r="C229" s="5">
        <v>35</v>
      </c>
      <c r="D229" s="12" t="str">
        <f t="shared" si="9"/>
        <v>Mid Age</v>
      </c>
      <c r="E229" s="5" t="s">
        <v>23</v>
      </c>
      <c r="F229" s="5" t="s">
        <v>24</v>
      </c>
      <c r="G229" s="5" t="s">
        <v>33</v>
      </c>
      <c r="H229" s="5" t="s">
        <v>29</v>
      </c>
      <c r="I229" s="5">
        <v>9</v>
      </c>
      <c r="J229" s="12" t="str">
        <f t="shared" si="10"/>
        <v>Mid-level</v>
      </c>
      <c r="K229" s="5">
        <v>1228</v>
      </c>
      <c r="L229" s="5">
        <v>5228</v>
      </c>
      <c r="M229" s="5">
        <v>118876</v>
      </c>
      <c r="N229" s="5" t="s">
        <v>30</v>
      </c>
      <c r="O229" s="5">
        <v>86</v>
      </c>
      <c r="P229" s="5">
        <v>4</v>
      </c>
      <c r="Q229" s="15" t="str">
        <f t="shared" si="11"/>
        <v>Excellent</v>
      </c>
      <c r="R229" s="6" t="s">
        <v>21</v>
      </c>
    </row>
    <row r="230" spans="1:18" x14ac:dyDescent="0.3">
      <c r="A230" s="4">
        <v>229</v>
      </c>
      <c r="B230" s="5" t="s">
        <v>264</v>
      </c>
      <c r="C230" s="5">
        <v>45</v>
      </c>
      <c r="D230" s="12" t="str">
        <f t="shared" si="9"/>
        <v>Elder</v>
      </c>
      <c r="E230" s="5" t="s">
        <v>16</v>
      </c>
      <c r="F230" s="5" t="s">
        <v>24</v>
      </c>
      <c r="G230" s="5" t="s">
        <v>46</v>
      </c>
      <c r="H230" s="5" t="s">
        <v>19</v>
      </c>
      <c r="I230" s="5">
        <v>5</v>
      </c>
      <c r="J230" s="12" t="str">
        <f t="shared" si="10"/>
        <v>Junior</v>
      </c>
      <c r="K230" s="5">
        <v>1229</v>
      </c>
      <c r="L230" s="5">
        <v>5229</v>
      </c>
      <c r="M230" s="5">
        <v>27521</v>
      </c>
      <c r="N230" s="5" t="s">
        <v>20</v>
      </c>
      <c r="O230" s="5">
        <v>38</v>
      </c>
      <c r="P230" s="5">
        <v>2</v>
      </c>
      <c r="Q230" s="15" t="str">
        <f t="shared" si="11"/>
        <v>Average</v>
      </c>
      <c r="R230" s="6" t="s">
        <v>40</v>
      </c>
    </row>
    <row r="231" spans="1:18" x14ac:dyDescent="0.3">
      <c r="A231" s="4">
        <v>230</v>
      </c>
      <c r="B231" s="5" t="s">
        <v>265</v>
      </c>
      <c r="C231" s="5">
        <v>21</v>
      </c>
      <c r="D231" s="12" t="str">
        <f t="shared" si="9"/>
        <v>Young</v>
      </c>
      <c r="E231" s="5" t="s">
        <v>16</v>
      </c>
      <c r="F231" s="5" t="s">
        <v>43</v>
      </c>
      <c r="G231" s="5" t="s">
        <v>33</v>
      </c>
      <c r="H231" s="5" t="s">
        <v>29</v>
      </c>
      <c r="I231" s="5">
        <v>17</v>
      </c>
      <c r="J231" s="12" t="str">
        <f t="shared" si="10"/>
        <v>Expert</v>
      </c>
      <c r="K231" s="5">
        <v>1230</v>
      </c>
      <c r="L231" s="5">
        <v>5230</v>
      </c>
      <c r="M231" s="5">
        <v>91707</v>
      </c>
      <c r="N231" s="5" t="s">
        <v>38</v>
      </c>
      <c r="O231" s="5">
        <v>81</v>
      </c>
      <c r="P231" s="5">
        <v>4</v>
      </c>
      <c r="Q231" s="15" t="str">
        <f t="shared" si="11"/>
        <v>Excellent</v>
      </c>
      <c r="R231" s="6" t="s">
        <v>21</v>
      </c>
    </row>
    <row r="232" spans="1:18" x14ac:dyDescent="0.3">
      <c r="A232" s="4">
        <v>231</v>
      </c>
      <c r="B232" s="5" t="s">
        <v>266</v>
      </c>
      <c r="C232" s="5">
        <v>20</v>
      </c>
      <c r="D232" s="12" t="str">
        <f t="shared" si="9"/>
        <v>Young</v>
      </c>
      <c r="E232" s="5" t="s">
        <v>16</v>
      </c>
      <c r="F232" s="5" t="s">
        <v>45</v>
      </c>
      <c r="G232" s="5" t="s">
        <v>18</v>
      </c>
      <c r="H232" s="5" t="s">
        <v>29</v>
      </c>
      <c r="I232" s="5">
        <v>12</v>
      </c>
      <c r="J232" s="12" t="str">
        <f t="shared" si="10"/>
        <v>Senior</v>
      </c>
      <c r="K232" s="5">
        <v>1231</v>
      </c>
      <c r="L232" s="5">
        <v>5231</v>
      </c>
      <c r="M232" s="5">
        <v>43481</v>
      </c>
      <c r="N232" s="5" t="s">
        <v>20</v>
      </c>
      <c r="O232" s="5">
        <v>87</v>
      </c>
      <c r="P232" s="5">
        <v>3</v>
      </c>
      <c r="Q232" s="15" t="str">
        <f t="shared" si="11"/>
        <v>Good</v>
      </c>
      <c r="R232" s="6" t="s">
        <v>40</v>
      </c>
    </row>
    <row r="233" spans="1:18" x14ac:dyDescent="0.3">
      <c r="A233" s="4">
        <v>232</v>
      </c>
      <c r="B233" s="5" t="s">
        <v>267</v>
      </c>
      <c r="C233" s="5">
        <v>31</v>
      </c>
      <c r="D233" s="12" t="str">
        <f t="shared" si="9"/>
        <v>Mid Age</v>
      </c>
      <c r="E233" s="5" t="s">
        <v>16</v>
      </c>
      <c r="F233" s="5" t="s">
        <v>45</v>
      </c>
      <c r="G233" s="5" t="s">
        <v>46</v>
      </c>
      <c r="H233" s="5" t="s">
        <v>19</v>
      </c>
      <c r="I233" s="5">
        <v>2</v>
      </c>
      <c r="J233" s="12" t="str">
        <f t="shared" si="10"/>
        <v>Beginner</v>
      </c>
      <c r="K233" s="5">
        <v>1232</v>
      </c>
      <c r="L233" s="5">
        <v>5232</v>
      </c>
      <c r="M233" s="5">
        <v>38474</v>
      </c>
      <c r="N233" s="5" t="s">
        <v>27</v>
      </c>
      <c r="O233" s="5">
        <v>88</v>
      </c>
      <c r="P233" s="5">
        <v>2</v>
      </c>
      <c r="Q233" s="15" t="str">
        <f t="shared" si="11"/>
        <v>Average</v>
      </c>
      <c r="R233" s="6" t="s">
        <v>36</v>
      </c>
    </row>
    <row r="234" spans="1:18" x14ac:dyDescent="0.3">
      <c r="A234" s="4">
        <v>233</v>
      </c>
      <c r="B234" s="5" t="s">
        <v>268</v>
      </c>
      <c r="C234" s="5">
        <v>24</v>
      </c>
      <c r="D234" s="12" t="str">
        <f t="shared" si="9"/>
        <v>Young</v>
      </c>
      <c r="E234" s="5" t="s">
        <v>16</v>
      </c>
      <c r="F234" s="5" t="s">
        <v>24</v>
      </c>
      <c r="G234" s="5" t="s">
        <v>46</v>
      </c>
      <c r="H234" s="5" t="s">
        <v>26</v>
      </c>
      <c r="I234" s="5">
        <v>9</v>
      </c>
      <c r="J234" s="12" t="str">
        <f t="shared" si="10"/>
        <v>Mid-level</v>
      </c>
      <c r="K234" s="5">
        <v>1233</v>
      </c>
      <c r="L234" s="5">
        <v>5233</v>
      </c>
      <c r="M234" s="5">
        <v>66760</v>
      </c>
      <c r="N234" s="5" t="s">
        <v>30</v>
      </c>
      <c r="O234" s="5">
        <v>50</v>
      </c>
      <c r="P234" s="5">
        <v>1</v>
      </c>
      <c r="Q234" s="15" t="str">
        <f t="shared" si="11"/>
        <v>Poor</v>
      </c>
      <c r="R234" s="6" t="s">
        <v>36</v>
      </c>
    </row>
    <row r="235" spans="1:18" x14ac:dyDescent="0.3">
      <c r="A235" s="4">
        <v>234</v>
      </c>
      <c r="B235" s="5" t="s">
        <v>269</v>
      </c>
      <c r="C235" s="5">
        <v>56</v>
      </c>
      <c r="D235" s="12" t="str">
        <f t="shared" si="9"/>
        <v>Senior</v>
      </c>
      <c r="E235" s="5" t="s">
        <v>23</v>
      </c>
      <c r="F235" s="5" t="s">
        <v>17</v>
      </c>
      <c r="G235" s="5" t="s">
        <v>33</v>
      </c>
      <c r="H235" s="5" t="s">
        <v>26</v>
      </c>
      <c r="I235" s="5">
        <v>13</v>
      </c>
      <c r="J235" s="12" t="str">
        <f t="shared" si="10"/>
        <v>Senior</v>
      </c>
      <c r="K235" s="5">
        <v>1234</v>
      </c>
      <c r="L235" s="5">
        <v>5234</v>
      </c>
      <c r="M235" s="5">
        <v>75718</v>
      </c>
      <c r="N235" s="5" t="s">
        <v>27</v>
      </c>
      <c r="O235" s="5">
        <v>8</v>
      </c>
      <c r="P235" s="5">
        <v>1</v>
      </c>
      <c r="Q235" s="15" t="str">
        <f t="shared" si="11"/>
        <v>Poor</v>
      </c>
      <c r="R235" s="6" t="s">
        <v>40</v>
      </c>
    </row>
    <row r="236" spans="1:18" x14ac:dyDescent="0.3">
      <c r="A236" s="4">
        <v>235</v>
      </c>
      <c r="B236" s="5" t="s">
        <v>270</v>
      </c>
      <c r="C236" s="5">
        <v>51</v>
      </c>
      <c r="D236" s="12" t="str">
        <f t="shared" si="9"/>
        <v>Senior</v>
      </c>
      <c r="E236" s="5" t="s">
        <v>16</v>
      </c>
      <c r="F236" s="5" t="s">
        <v>43</v>
      </c>
      <c r="G236" s="5" t="s">
        <v>46</v>
      </c>
      <c r="H236" s="5" t="s">
        <v>26</v>
      </c>
      <c r="I236" s="5">
        <v>5</v>
      </c>
      <c r="J236" s="12" t="str">
        <f t="shared" si="10"/>
        <v>Junior</v>
      </c>
      <c r="K236" s="5">
        <v>1235</v>
      </c>
      <c r="L236" s="5">
        <v>5235</v>
      </c>
      <c r="M236" s="5">
        <v>64629</v>
      </c>
      <c r="N236" s="5" t="s">
        <v>30</v>
      </c>
      <c r="O236" s="5">
        <v>41</v>
      </c>
      <c r="P236" s="5">
        <v>3</v>
      </c>
      <c r="Q236" s="15" t="str">
        <f t="shared" si="11"/>
        <v>Good</v>
      </c>
      <c r="R236" s="6" t="s">
        <v>31</v>
      </c>
    </row>
    <row r="237" spans="1:18" x14ac:dyDescent="0.3">
      <c r="A237" s="4">
        <v>236</v>
      </c>
      <c r="B237" s="5" t="s">
        <v>271</v>
      </c>
      <c r="C237" s="5">
        <v>28</v>
      </c>
      <c r="D237" s="12" t="str">
        <f t="shared" si="9"/>
        <v>Young</v>
      </c>
      <c r="E237" s="5" t="s">
        <v>23</v>
      </c>
      <c r="F237" s="5" t="s">
        <v>43</v>
      </c>
      <c r="G237" s="5" t="s">
        <v>33</v>
      </c>
      <c r="H237" s="5" t="s">
        <v>19</v>
      </c>
      <c r="I237" s="5">
        <v>2</v>
      </c>
      <c r="J237" s="12" t="str">
        <f t="shared" si="10"/>
        <v>Beginner</v>
      </c>
      <c r="K237" s="5">
        <v>1236</v>
      </c>
      <c r="L237" s="5">
        <v>5236</v>
      </c>
      <c r="M237" s="5">
        <v>65232</v>
      </c>
      <c r="N237" s="5" t="s">
        <v>20</v>
      </c>
      <c r="O237" s="5">
        <v>6</v>
      </c>
      <c r="P237" s="5">
        <v>1</v>
      </c>
      <c r="Q237" s="15" t="str">
        <f t="shared" si="11"/>
        <v>Poor</v>
      </c>
      <c r="R237" s="6" t="s">
        <v>40</v>
      </c>
    </row>
    <row r="238" spans="1:18" x14ac:dyDescent="0.3">
      <c r="A238" s="4">
        <v>237</v>
      </c>
      <c r="B238" s="5" t="s">
        <v>272</v>
      </c>
      <c r="C238" s="5">
        <v>54</v>
      </c>
      <c r="D238" s="12" t="str">
        <f t="shared" si="9"/>
        <v>Senior</v>
      </c>
      <c r="E238" s="5" t="s">
        <v>23</v>
      </c>
      <c r="F238" s="5" t="s">
        <v>43</v>
      </c>
      <c r="G238" s="5" t="s">
        <v>46</v>
      </c>
      <c r="H238" s="5" t="s">
        <v>29</v>
      </c>
      <c r="I238" s="5">
        <v>15</v>
      </c>
      <c r="J238" s="12" t="str">
        <f t="shared" si="10"/>
        <v>Senior</v>
      </c>
      <c r="K238" s="5">
        <v>1237</v>
      </c>
      <c r="L238" s="5">
        <v>5237</v>
      </c>
      <c r="M238" s="5">
        <v>106544</v>
      </c>
      <c r="N238" s="5" t="s">
        <v>27</v>
      </c>
      <c r="O238" s="5">
        <v>69</v>
      </c>
      <c r="P238" s="5">
        <v>4</v>
      </c>
      <c r="Q238" s="15" t="str">
        <f t="shared" si="11"/>
        <v>Excellent</v>
      </c>
      <c r="R238" s="6" t="s">
        <v>40</v>
      </c>
    </row>
    <row r="239" spans="1:18" x14ac:dyDescent="0.3">
      <c r="A239" s="4">
        <v>238</v>
      </c>
      <c r="B239" s="5" t="s">
        <v>273</v>
      </c>
      <c r="C239" s="5">
        <v>38</v>
      </c>
      <c r="D239" s="12" t="str">
        <f t="shared" si="9"/>
        <v>Mid Age</v>
      </c>
      <c r="E239" s="5" t="s">
        <v>16</v>
      </c>
      <c r="F239" s="5" t="s">
        <v>43</v>
      </c>
      <c r="G239" s="5" t="s">
        <v>25</v>
      </c>
      <c r="H239" s="5" t="s">
        <v>19</v>
      </c>
      <c r="I239" s="5">
        <v>6</v>
      </c>
      <c r="J239" s="12" t="str">
        <f t="shared" si="10"/>
        <v>Mid-level</v>
      </c>
      <c r="K239" s="5">
        <v>1238</v>
      </c>
      <c r="L239" s="5">
        <v>5238</v>
      </c>
      <c r="M239" s="5">
        <v>87169</v>
      </c>
      <c r="N239" s="5" t="s">
        <v>27</v>
      </c>
      <c r="O239" s="5">
        <v>44</v>
      </c>
      <c r="P239" s="5">
        <v>4</v>
      </c>
      <c r="Q239" s="15" t="str">
        <f t="shared" si="11"/>
        <v>Excellent</v>
      </c>
      <c r="R239" s="6" t="s">
        <v>31</v>
      </c>
    </row>
    <row r="240" spans="1:18" x14ac:dyDescent="0.3">
      <c r="A240" s="4">
        <v>239</v>
      </c>
      <c r="B240" s="5" t="s">
        <v>274</v>
      </c>
      <c r="C240" s="5">
        <v>35</v>
      </c>
      <c r="D240" s="12" t="str">
        <f t="shared" si="9"/>
        <v>Mid Age</v>
      </c>
      <c r="E240" s="5" t="s">
        <v>16</v>
      </c>
      <c r="F240" s="5" t="s">
        <v>45</v>
      </c>
      <c r="G240" s="5" t="s">
        <v>33</v>
      </c>
      <c r="H240" s="5" t="s">
        <v>19</v>
      </c>
      <c r="I240" s="5">
        <v>19</v>
      </c>
      <c r="J240" s="12" t="str">
        <f t="shared" si="10"/>
        <v>Expert</v>
      </c>
      <c r="K240" s="5">
        <v>1239</v>
      </c>
      <c r="L240" s="5">
        <v>5239</v>
      </c>
      <c r="M240" s="5">
        <v>70669</v>
      </c>
      <c r="N240" s="5" t="s">
        <v>20</v>
      </c>
      <c r="O240" s="5">
        <v>64</v>
      </c>
      <c r="P240" s="5">
        <v>3</v>
      </c>
      <c r="Q240" s="15" t="str">
        <f t="shared" si="11"/>
        <v>Good</v>
      </c>
      <c r="R240" s="6" t="s">
        <v>36</v>
      </c>
    </row>
    <row r="241" spans="1:18" x14ac:dyDescent="0.3">
      <c r="A241" s="4">
        <v>240</v>
      </c>
      <c r="B241" s="5" t="s">
        <v>275</v>
      </c>
      <c r="C241" s="5">
        <v>22</v>
      </c>
      <c r="D241" s="12" t="str">
        <f t="shared" si="9"/>
        <v>Young</v>
      </c>
      <c r="E241" s="5" t="s">
        <v>16</v>
      </c>
      <c r="F241" s="5" t="s">
        <v>45</v>
      </c>
      <c r="G241" s="5" t="s">
        <v>46</v>
      </c>
      <c r="H241" s="5" t="s">
        <v>29</v>
      </c>
      <c r="I241" s="5">
        <v>13</v>
      </c>
      <c r="J241" s="12" t="str">
        <f t="shared" si="10"/>
        <v>Senior</v>
      </c>
      <c r="K241" s="5">
        <v>1240</v>
      </c>
      <c r="L241" s="5">
        <v>5240</v>
      </c>
      <c r="M241" s="5">
        <v>98021</v>
      </c>
      <c r="N241" s="5" t="s">
        <v>27</v>
      </c>
      <c r="O241" s="5">
        <v>29</v>
      </c>
      <c r="P241" s="5">
        <v>1</v>
      </c>
      <c r="Q241" s="15" t="str">
        <f t="shared" si="11"/>
        <v>Poor</v>
      </c>
      <c r="R241" s="6" t="s">
        <v>21</v>
      </c>
    </row>
    <row r="242" spans="1:18" x14ac:dyDescent="0.3">
      <c r="A242" s="4">
        <v>241</v>
      </c>
      <c r="B242" s="5" t="s">
        <v>276</v>
      </c>
      <c r="C242" s="5">
        <v>39</v>
      </c>
      <c r="D242" s="12" t="str">
        <f t="shared" si="9"/>
        <v>Mid Age</v>
      </c>
      <c r="E242" s="5" t="s">
        <v>16</v>
      </c>
      <c r="F242" s="5" t="s">
        <v>17</v>
      </c>
      <c r="G242" s="5" t="s">
        <v>18</v>
      </c>
      <c r="H242" s="5" t="s">
        <v>26</v>
      </c>
      <c r="I242" s="5">
        <v>8</v>
      </c>
      <c r="J242" s="12" t="str">
        <f t="shared" si="10"/>
        <v>Mid-level</v>
      </c>
      <c r="K242" s="5">
        <v>1241</v>
      </c>
      <c r="L242" s="5">
        <v>5241</v>
      </c>
      <c r="M242" s="5">
        <v>89184</v>
      </c>
      <c r="N242" s="5" t="s">
        <v>38</v>
      </c>
      <c r="O242" s="5">
        <v>28</v>
      </c>
      <c r="P242" s="5">
        <v>1</v>
      </c>
      <c r="Q242" s="15" t="str">
        <f t="shared" si="11"/>
        <v>Poor</v>
      </c>
      <c r="R242" s="6" t="s">
        <v>40</v>
      </c>
    </row>
    <row r="243" spans="1:18" x14ac:dyDescent="0.3">
      <c r="A243" s="4">
        <v>242</v>
      </c>
      <c r="B243" s="5" t="s">
        <v>277</v>
      </c>
      <c r="C243" s="5">
        <v>43</v>
      </c>
      <c r="D243" s="12" t="str">
        <f t="shared" si="9"/>
        <v>Elder</v>
      </c>
      <c r="E243" s="5" t="s">
        <v>23</v>
      </c>
      <c r="F243" s="5" t="s">
        <v>43</v>
      </c>
      <c r="G243" s="5" t="s">
        <v>46</v>
      </c>
      <c r="H243" s="5" t="s">
        <v>26</v>
      </c>
      <c r="I243" s="5">
        <v>14</v>
      </c>
      <c r="J243" s="12" t="str">
        <f t="shared" si="10"/>
        <v>Senior</v>
      </c>
      <c r="K243" s="5">
        <v>1242</v>
      </c>
      <c r="L243" s="5">
        <v>5242</v>
      </c>
      <c r="M243" s="5">
        <v>67945</v>
      </c>
      <c r="N243" s="5" t="s">
        <v>30</v>
      </c>
      <c r="O243" s="5">
        <v>11</v>
      </c>
      <c r="P243" s="5">
        <v>3</v>
      </c>
      <c r="Q243" s="15" t="str">
        <f t="shared" si="11"/>
        <v>Good</v>
      </c>
      <c r="R243" s="6" t="s">
        <v>31</v>
      </c>
    </row>
    <row r="244" spans="1:18" x14ac:dyDescent="0.3">
      <c r="A244" s="4">
        <v>243</v>
      </c>
      <c r="B244" s="5" t="s">
        <v>278</v>
      </c>
      <c r="C244" s="5">
        <v>52</v>
      </c>
      <c r="D244" s="12" t="str">
        <f t="shared" si="9"/>
        <v>Senior</v>
      </c>
      <c r="E244" s="5" t="s">
        <v>16</v>
      </c>
      <c r="F244" s="5" t="s">
        <v>43</v>
      </c>
      <c r="G244" s="5" t="s">
        <v>18</v>
      </c>
      <c r="H244" s="5" t="s">
        <v>19</v>
      </c>
      <c r="I244" s="5">
        <v>2</v>
      </c>
      <c r="J244" s="12" t="str">
        <f t="shared" si="10"/>
        <v>Beginner</v>
      </c>
      <c r="K244" s="5">
        <v>1243</v>
      </c>
      <c r="L244" s="5">
        <v>5243</v>
      </c>
      <c r="M244" s="5">
        <v>33140</v>
      </c>
      <c r="N244" s="5" t="s">
        <v>30</v>
      </c>
      <c r="O244" s="5">
        <v>65</v>
      </c>
      <c r="P244" s="5">
        <v>2</v>
      </c>
      <c r="Q244" s="15" t="str">
        <f t="shared" si="11"/>
        <v>Average</v>
      </c>
      <c r="R244" s="6" t="s">
        <v>40</v>
      </c>
    </row>
    <row r="245" spans="1:18" x14ac:dyDescent="0.3">
      <c r="A245" s="4">
        <v>244</v>
      </c>
      <c r="B245" s="5" t="s">
        <v>279</v>
      </c>
      <c r="C245" s="5">
        <v>43</v>
      </c>
      <c r="D245" s="12" t="str">
        <f t="shared" si="9"/>
        <v>Elder</v>
      </c>
      <c r="E245" s="5" t="s">
        <v>16</v>
      </c>
      <c r="F245" s="5" t="s">
        <v>24</v>
      </c>
      <c r="G245" s="5" t="s">
        <v>18</v>
      </c>
      <c r="H245" s="5" t="s">
        <v>26</v>
      </c>
      <c r="I245" s="5">
        <v>1</v>
      </c>
      <c r="J245" s="12" t="str">
        <f t="shared" si="10"/>
        <v>Beginner</v>
      </c>
      <c r="K245" s="5">
        <v>1244</v>
      </c>
      <c r="L245" s="5">
        <v>5244</v>
      </c>
      <c r="M245" s="5">
        <v>103457</v>
      </c>
      <c r="N245" s="5" t="s">
        <v>30</v>
      </c>
      <c r="O245" s="5">
        <v>19</v>
      </c>
      <c r="P245" s="5">
        <v>1</v>
      </c>
      <c r="Q245" s="15" t="str">
        <f t="shared" si="11"/>
        <v>Poor</v>
      </c>
      <c r="R245" s="6" t="s">
        <v>31</v>
      </c>
    </row>
    <row r="246" spans="1:18" x14ac:dyDescent="0.3">
      <c r="A246" s="4">
        <v>245</v>
      </c>
      <c r="B246" s="5" t="s">
        <v>280</v>
      </c>
      <c r="C246" s="5">
        <v>30</v>
      </c>
      <c r="D246" s="12" t="str">
        <f t="shared" si="9"/>
        <v>Young</v>
      </c>
      <c r="E246" s="5" t="s">
        <v>16</v>
      </c>
      <c r="F246" s="5" t="s">
        <v>45</v>
      </c>
      <c r="G246" s="5" t="s">
        <v>25</v>
      </c>
      <c r="H246" s="5" t="s">
        <v>19</v>
      </c>
      <c r="I246" s="5">
        <v>1</v>
      </c>
      <c r="J246" s="12" t="str">
        <f t="shared" si="10"/>
        <v>Beginner</v>
      </c>
      <c r="K246" s="5">
        <v>1245</v>
      </c>
      <c r="L246" s="5">
        <v>5245</v>
      </c>
      <c r="M246" s="5">
        <v>34357</v>
      </c>
      <c r="N246" s="5" t="s">
        <v>38</v>
      </c>
      <c r="O246" s="5">
        <v>9</v>
      </c>
      <c r="P246" s="5">
        <v>2</v>
      </c>
      <c r="Q246" s="15" t="str">
        <f t="shared" si="11"/>
        <v>Average</v>
      </c>
      <c r="R246" s="6" t="s">
        <v>21</v>
      </c>
    </row>
    <row r="247" spans="1:18" x14ac:dyDescent="0.3">
      <c r="A247" s="4">
        <v>246</v>
      </c>
      <c r="B247" s="5" t="s">
        <v>281</v>
      </c>
      <c r="C247" s="5">
        <v>27</v>
      </c>
      <c r="D247" s="12" t="str">
        <f t="shared" si="9"/>
        <v>Young</v>
      </c>
      <c r="E247" s="5" t="s">
        <v>16</v>
      </c>
      <c r="F247" s="5" t="s">
        <v>43</v>
      </c>
      <c r="G247" s="5" t="s">
        <v>33</v>
      </c>
      <c r="H247" s="5" t="s">
        <v>19</v>
      </c>
      <c r="I247" s="5">
        <v>2</v>
      </c>
      <c r="J247" s="12" t="str">
        <f t="shared" si="10"/>
        <v>Beginner</v>
      </c>
      <c r="K247" s="5">
        <v>1246</v>
      </c>
      <c r="L247" s="5">
        <v>5246</v>
      </c>
      <c r="M247" s="5">
        <v>88673</v>
      </c>
      <c r="N247" s="5" t="s">
        <v>30</v>
      </c>
      <c r="O247" s="5">
        <v>27</v>
      </c>
      <c r="P247" s="5">
        <v>1</v>
      </c>
      <c r="Q247" s="15" t="str">
        <f t="shared" si="11"/>
        <v>Poor</v>
      </c>
      <c r="R247" s="6" t="s">
        <v>21</v>
      </c>
    </row>
    <row r="248" spans="1:18" x14ac:dyDescent="0.3">
      <c r="A248" s="4">
        <v>247</v>
      </c>
      <c r="B248" s="5" t="s">
        <v>282</v>
      </c>
      <c r="C248" s="5">
        <v>55</v>
      </c>
      <c r="D248" s="12" t="str">
        <f t="shared" si="9"/>
        <v>Senior</v>
      </c>
      <c r="E248" s="5" t="s">
        <v>16</v>
      </c>
      <c r="F248" s="5" t="s">
        <v>17</v>
      </c>
      <c r="G248" s="5" t="s">
        <v>46</v>
      </c>
      <c r="H248" s="5" t="s">
        <v>29</v>
      </c>
      <c r="I248" s="5">
        <v>17</v>
      </c>
      <c r="J248" s="12" t="str">
        <f t="shared" si="10"/>
        <v>Expert</v>
      </c>
      <c r="K248" s="5">
        <v>1247</v>
      </c>
      <c r="L248" s="5">
        <v>5247</v>
      </c>
      <c r="M248" s="5">
        <v>85633</v>
      </c>
      <c r="N248" s="5" t="s">
        <v>20</v>
      </c>
      <c r="O248" s="5">
        <v>34</v>
      </c>
      <c r="P248" s="5">
        <v>1</v>
      </c>
      <c r="Q248" s="15" t="str">
        <f t="shared" si="11"/>
        <v>Poor</v>
      </c>
      <c r="R248" s="6" t="s">
        <v>36</v>
      </c>
    </row>
    <row r="249" spans="1:18" x14ac:dyDescent="0.3">
      <c r="A249" s="4">
        <v>248</v>
      </c>
      <c r="B249" s="5" t="s">
        <v>283</v>
      </c>
      <c r="C249" s="5">
        <v>57</v>
      </c>
      <c r="D249" s="12" t="str">
        <f t="shared" si="9"/>
        <v>Senior</v>
      </c>
      <c r="E249" s="5" t="s">
        <v>16</v>
      </c>
      <c r="F249" s="5" t="s">
        <v>17</v>
      </c>
      <c r="G249" s="5" t="s">
        <v>25</v>
      </c>
      <c r="H249" s="5" t="s">
        <v>29</v>
      </c>
      <c r="I249" s="5">
        <v>13</v>
      </c>
      <c r="J249" s="12" t="str">
        <f t="shared" si="10"/>
        <v>Senior</v>
      </c>
      <c r="K249" s="5">
        <v>1248</v>
      </c>
      <c r="L249" s="5">
        <v>5248</v>
      </c>
      <c r="M249" s="5">
        <v>96943</v>
      </c>
      <c r="N249" s="5" t="s">
        <v>27</v>
      </c>
      <c r="O249" s="5">
        <v>44</v>
      </c>
      <c r="P249" s="5">
        <v>1</v>
      </c>
      <c r="Q249" s="15" t="str">
        <f t="shared" si="11"/>
        <v>Poor</v>
      </c>
      <c r="R249" s="6" t="s">
        <v>31</v>
      </c>
    </row>
    <row r="250" spans="1:18" x14ac:dyDescent="0.3">
      <c r="A250" s="4">
        <v>249</v>
      </c>
      <c r="B250" s="5" t="s">
        <v>284</v>
      </c>
      <c r="C250" s="5">
        <v>59</v>
      </c>
      <c r="D250" s="12" t="str">
        <f t="shared" si="9"/>
        <v>Senior</v>
      </c>
      <c r="E250" s="5" t="s">
        <v>23</v>
      </c>
      <c r="F250" s="5" t="s">
        <v>45</v>
      </c>
      <c r="G250" s="5" t="s">
        <v>46</v>
      </c>
      <c r="H250" s="5" t="s">
        <v>29</v>
      </c>
      <c r="I250" s="5">
        <v>19</v>
      </c>
      <c r="J250" s="12" t="str">
        <f t="shared" si="10"/>
        <v>Expert</v>
      </c>
      <c r="K250" s="5">
        <v>1249</v>
      </c>
      <c r="L250" s="5">
        <v>5249</v>
      </c>
      <c r="M250" s="5">
        <v>116111</v>
      </c>
      <c r="N250" s="5" t="s">
        <v>38</v>
      </c>
      <c r="O250" s="5">
        <v>68</v>
      </c>
      <c r="P250" s="5">
        <v>1</v>
      </c>
      <c r="Q250" s="15" t="str">
        <f t="shared" si="11"/>
        <v>Poor</v>
      </c>
      <c r="R250" s="6" t="s">
        <v>31</v>
      </c>
    </row>
    <row r="251" spans="1:18" x14ac:dyDescent="0.3">
      <c r="A251" s="4">
        <v>250</v>
      </c>
      <c r="B251" s="5" t="s">
        <v>285</v>
      </c>
      <c r="C251" s="5">
        <v>39</v>
      </c>
      <c r="D251" s="12" t="str">
        <f t="shared" si="9"/>
        <v>Mid Age</v>
      </c>
      <c r="E251" s="5" t="s">
        <v>23</v>
      </c>
      <c r="F251" s="5" t="s">
        <v>17</v>
      </c>
      <c r="G251" s="5" t="s">
        <v>18</v>
      </c>
      <c r="H251" s="5" t="s">
        <v>19</v>
      </c>
      <c r="I251" s="5">
        <v>17</v>
      </c>
      <c r="J251" s="12" t="str">
        <f t="shared" si="10"/>
        <v>Expert</v>
      </c>
      <c r="K251" s="5">
        <v>1250</v>
      </c>
      <c r="L251" s="5">
        <v>5250</v>
      </c>
      <c r="M251" s="5">
        <v>98258</v>
      </c>
      <c r="N251" s="5" t="s">
        <v>30</v>
      </c>
      <c r="O251" s="5">
        <v>82</v>
      </c>
      <c r="P251" s="5">
        <v>4</v>
      </c>
      <c r="Q251" s="15" t="str">
        <f t="shared" si="11"/>
        <v>Excellent</v>
      </c>
      <c r="R251" s="6" t="s">
        <v>36</v>
      </c>
    </row>
    <row r="252" spans="1:18" x14ac:dyDescent="0.3">
      <c r="A252" s="4">
        <v>251</v>
      </c>
      <c r="B252" s="5" t="s">
        <v>286</v>
      </c>
      <c r="C252" s="5">
        <v>54</v>
      </c>
      <c r="D252" s="12" t="str">
        <f t="shared" si="9"/>
        <v>Senior</v>
      </c>
      <c r="E252" s="5" t="s">
        <v>16</v>
      </c>
      <c r="F252" s="5" t="s">
        <v>17</v>
      </c>
      <c r="G252" s="5" t="s">
        <v>33</v>
      </c>
      <c r="H252" s="5" t="s">
        <v>29</v>
      </c>
      <c r="I252" s="5">
        <v>9</v>
      </c>
      <c r="J252" s="12" t="str">
        <f t="shared" si="10"/>
        <v>Mid-level</v>
      </c>
      <c r="K252" s="5">
        <v>1251</v>
      </c>
      <c r="L252" s="5">
        <v>5251</v>
      </c>
      <c r="M252" s="5">
        <v>32924</v>
      </c>
      <c r="N252" s="5" t="s">
        <v>20</v>
      </c>
      <c r="O252" s="5">
        <v>15</v>
      </c>
      <c r="P252" s="5">
        <v>2</v>
      </c>
      <c r="Q252" s="15" t="str">
        <f t="shared" si="11"/>
        <v>Average</v>
      </c>
      <c r="R252" s="6" t="s">
        <v>36</v>
      </c>
    </row>
    <row r="253" spans="1:18" x14ac:dyDescent="0.3">
      <c r="A253" s="4">
        <v>252</v>
      </c>
      <c r="B253" s="5" t="s">
        <v>287</v>
      </c>
      <c r="C253" s="5">
        <v>44</v>
      </c>
      <c r="D253" s="12" t="str">
        <f t="shared" si="9"/>
        <v>Elder</v>
      </c>
      <c r="E253" s="5" t="s">
        <v>16</v>
      </c>
      <c r="F253" s="5" t="s">
        <v>45</v>
      </c>
      <c r="G253" s="5" t="s">
        <v>46</v>
      </c>
      <c r="H253" s="5" t="s">
        <v>26</v>
      </c>
      <c r="I253" s="5">
        <v>1</v>
      </c>
      <c r="J253" s="12" t="str">
        <f t="shared" si="10"/>
        <v>Beginner</v>
      </c>
      <c r="K253" s="5">
        <v>1252</v>
      </c>
      <c r="L253" s="5">
        <v>5252</v>
      </c>
      <c r="M253" s="5">
        <v>89286</v>
      </c>
      <c r="N253" s="5" t="s">
        <v>27</v>
      </c>
      <c r="O253" s="5">
        <v>51</v>
      </c>
      <c r="P253" s="5">
        <v>2</v>
      </c>
      <c r="Q253" s="15" t="str">
        <f t="shared" si="11"/>
        <v>Average</v>
      </c>
      <c r="R253" s="6" t="s">
        <v>31</v>
      </c>
    </row>
    <row r="254" spans="1:18" x14ac:dyDescent="0.3">
      <c r="A254" s="4">
        <v>253</v>
      </c>
      <c r="B254" s="5" t="s">
        <v>288</v>
      </c>
      <c r="C254" s="5">
        <v>54</v>
      </c>
      <c r="D254" s="12" t="str">
        <f t="shared" si="9"/>
        <v>Senior</v>
      </c>
      <c r="E254" s="5" t="s">
        <v>16</v>
      </c>
      <c r="F254" s="5" t="s">
        <v>43</v>
      </c>
      <c r="G254" s="5" t="s">
        <v>46</v>
      </c>
      <c r="H254" s="5" t="s">
        <v>26</v>
      </c>
      <c r="I254" s="5">
        <v>0</v>
      </c>
      <c r="J254" s="12" t="str">
        <f t="shared" si="10"/>
        <v>Beginner</v>
      </c>
      <c r="K254" s="5">
        <v>1253</v>
      </c>
      <c r="L254" s="5">
        <v>5253</v>
      </c>
      <c r="M254" s="5">
        <v>113269</v>
      </c>
      <c r="N254" s="5" t="s">
        <v>27</v>
      </c>
      <c r="O254" s="5">
        <v>13</v>
      </c>
      <c r="P254" s="5">
        <v>1</v>
      </c>
      <c r="Q254" s="15" t="str">
        <f t="shared" si="11"/>
        <v>Poor</v>
      </c>
      <c r="R254" s="6" t="s">
        <v>36</v>
      </c>
    </row>
    <row r="255" spans="1:18" x14ac:dyDescent="0.3">
      <c r="A255" s="4">
        <v>254</v>
      </c>
      <c r="B255" s="5" t="s">
        <v>289</v>
      </c>
      <c r="C255" s="5">
        <v>44</v>
      </c>
      <c r="D255" s="12" t="str">
        <f t="shared" si="9"/>
        <v>Elder</v>
      </c>
      <c r="E255" s="5" t="s">
        <v>23</v>
      </c>
      <c r="F255" s="5" t="s">
        <v>43</v>
      </c>
      <c r="G255" s="5" t="s">
        <v>18</v>
      </c>
      <c r="H255" s="5" t="s">
        <v>19</v>
      </c>
      <c r="I255" s="5">
        <v>3</v>
      </c>
      <c r="J255" s="12" t="str">
        <f t="shared" si="10"/>
        <v>Junior</v>
      </c>
      <c r="K255" s="5">
        <v>1254</v>
      </c>
      <c r="L255" s="5">
        <v>5254</v>
      </c>
      <c r="M255" s="5">
        <v>94071</v>
      </c>
      <c r="N255" s="5" t="s">
        <v>38</v>
      </c>
      <c r="O255" s="5">
        <v>83</v>
      </c>
      <c r="P255" s="5">
        <v>1</v>
      </c>
      <c r="Q255" s="15" t="str">
        <f t="shared" si="11"/>
        <v>Poor</v>
      </c>
      <c r="R255" s="6" t="s">
        <v>21</v>
      </c>
    </row>
    <row r="256" spans="1:18" x14ac:dyDescent="0.3">
      <c r="A256" s="4">
        <v>255</v>
      </c>
      <c r="B256" s="5" t="s">
        <v>290</v>
      </c>
      <c r="C256" s="5">
        <v>48</v>
      </c>
      <c r="D256" s="12" t="str">
        <f t="shared" si="9"/>
        <v>Elder</v>
      </c>
      <c r="E256" s="5" t="s">
        <v>16</v>
      </c>
      <c r="F256" s="5" t="s">
        <v>17</v>
      </c>
      <c r="G256" s="5" t="s">
        <v>46</v>
      </c>
      <c r="H256" s="5" t="s">
        <v>19</v>
      </c>
      <c r="I256" s="5">
        <v>13</v>
      </c>
      <c r="J256" s="12" t="str">
        <f t="shared" si="10"/>
        <v>Senior</v>
      </c>
      <c r="K256" s="5">
        <v>1255</v>
      </c>
      <c r="L256" s="5">
        <v>5255</v>
      </c>
      <c r="M256" s="5">
        <v>77326</v>
      </c>
      <c r="N256" s="5" t="s">
        <v>38</v>
      </c>
      <c r="O256" s="5">
        <v>49</v>
      </c>
      <c r="P256" s="5">
        <v>2</v>
      </c>
      <c r="Q256" s="15" t="str">
        <f t="shared" si="11"/>
        <v>Average</v>
      </c>
      <c r="R256" s="6" t="s">
        <v>40</v>
      </c>
    </row>
    <row r="257" spans="1:18" x14ac:dyDescent="0.3">
      <c r="A257" s="4">
        <v>256</v>
      </c>
      <c r="B257" s="5" t="s">
        <v>291</v>
      </c>
      <c r="C257" s="5">
        <v>37</v>
      </c>
      <c r="D257" s="12" t="str">
        <f t="shared" si="9"/>
        <v>Mid Age</v>
      </c>
      <c r="E257" s="5" t="s">
        <v>23</v>
      </c>
      <c r="F257" s="5" t="s">
        <v>17</v>
      </c>
      <c r="G257" s="5" t="s">
        <v>46</v>
      </c>
      <c r="H257" s="5" t="s">
        <v>29</v>
      </c>
      <c r="I257" s="5">
        <v>0</v>
      </c>
      <c r="J257" s="12" t="str">
        <f t="shared" si="10"/>
        <v>Beginner</v>
      </c>
      <c r="K257" s="5">
        <v>1256</v>
      </c>
      <c r="L257" s="5">
        <v>5256</v>
      </c>
      <c r="M257" s="5">
        <v>110023</v>
      </c>
      <c r="N257" s="5" t="s">
        <v>38</v>
      </c>
      <c r="O257" s="5">
        <v>70</v>
      </c>
      <c r="P257" s="5">
        <v>4</v>
      </c>
      <c r="Q257" s="15" t="str">
        <f t="shared" si="11"/>
        <v>Excellent</v>
      </c>
      <c r="R257" s="6" t="s">
        <v>21</v>
      </c>
    </row>
    <row r="258" spans="1:18" x14ac:dyDescent="0.3">
      <c r="A258" s="4">
        <v>257</v>
      </c>
      <c r="B258" s="5" t="s">
        <v>292</v>
      </c>
      <c r="C258" s="5">
        <v>37</v>
      </c>
      <c r="D258" s="12" t="str">
        <f t="shared" ref="D258:D321" si="12">IF(AND(C258&gt;=20,C258&lt;=30),"Young",IF(AND(C258&gt;30,C258&lt;=40),"Mid Age",IF(AND(C258&gt;40,C258&lt;=50),"Elder",IF(AND(C258&gt;50,C258&lt;=59),"Senior","Other"))))</f>
        <v>Mid Age</v>
      </c>
      <c r="E258" s="5" t="s">
        <v>16</v>
      </c>
      <c r="F258" s="5" t="s">
        <v>43</v>
      </c>
      <c r="G258" s="5" t="s">
        <v>18</v>
      </c>
      <c r="H258" s="5" t="s">
        <v>19</v>
      </c>
      <c r="I258" s="5">
        <v>13</v>
      </c>
      <c r="J258" s="12" t="str">
        <f t="shared" ref="J258:J321" si="13">IF(I258&lt;=2,"Beginner",IF(I258&lt;=5,"Junior",IF(I258&lt;=10,"Mid-level",IF(I258&lt;=15,"Senior","Expert"))))</f>
        <v>Senior</v>
      </c>
      <c r="K258" s="5">
        <v>1257</v>
      </c>
      <c r="L258" s="5">
        <v>5257</v>
      </c>
      <c r="M258" s="5">
        <v>50651</v>
      </c>
      <c r="N258" s="5" t="s">
        <v>20</v>
      </c>
      <c r="O258" s="5">
        <v>56</v>
      </c>
      <c r="P258" s="5">
        <v>3</v>
      </c>
      <c r="Q258" s="15" t="str">
        <f t="shared" ref="Q258:Q321" si="14">IF(P258=1,"Poor",IF(P258=2,"Average",IF(P258=3,"Good",IF(P258=4,"Excellent","Unknown"))))</f>
        <v>Good</v>
      </c>
      <c r="R258" s="6" t="s">
        <v>36</v>
      </c>
    </row>
    <row r="259" spans="1:18" x14ac:dyDescent="0.3">
      <c r="A259" s="4">
        <v>258</v>
      </c>
      <c r="B259" s="5" t="s">
        <v>293</v>
      </c>
      <c r="C259" s="5">
        <v>21</v>
      </c>
      <c r="D259" s="12" t="str">
        <f t="shared" si="12"/>
        <v>Young</v>
      </c>
      <c r="E259" s="5" t="s">
        <v>16</v>
      </c>
      <c r="F259" s="5" t="s">
        <v>45</v>
      </c>
      <c r="G259" s="5" t="s">
        <v>25</v>
      </c>
      <c r="H259" s="5" t="s">
        <v>19</v>
      </c>
      <c r="I259" s="5">
        <v>15</v>
      </c>
      <c r="J259" s="12" t="str">
        <f t="shared" si="13"/>
        <v>Senior</v>
      </c>
      <c r="K259" s="5">
        <v>1258</v>
      </c>
      <c r="L259" s="5">
        <v>5258</v>
      </c>
      <c r="M259" s="5">
        <v>90202</v>
      </c>
      <c r="N259" s="5" t="s">
        <v>20</v>
      </c>
      <c r="O259" s="5">
        <v>76</v>
      </c>
      <c r="P259" s="5">
        <v>3</v>
      </c>
      <c r="Q259" s="15" t="str">
        <f t="shared" si="14"/>
        <v>Good</v>
      </c>
      <c r="R259" s="6" t="s">
        <v>31</v>
      </c>
    </row>
    <row r="260" spans="1:18" x14ac:dyDescent="0.3">
      <c r="A260" s="4">
        <v>259</v>
      </c>
      <c r="B260" s="5" t="s">
        <v>294</v>
      </c>
      <c r="C260" s="5">
        <v>54</v>
      </c>
      <c r="D260" s="12" t="str">
        <f t="shared" si="12"/>
        <v>Senior</v>
      </c>
      <c r="E260" s="5" t="s">
        <v>16</v>
      </c>
      <c r="F260" s="5" t="s">
        <v>17</v>
      </c>
      <c r="G260" s="5" t="s">
        <v>18</v>
      </c>
      <c r="H260" s="5" t="s">
        <v>26</v>
      </c>
      <c r="I260" s="5">
        <v>13</v>
      </c>
      <c r="J260" s="12" t="str">
        <f t="shared" si="13"/>
        <v>Senior</v>
      </c>
      <c r="K260" s="5">
        <v>1259</v>
      </c>
      <c r="L260" s="5">
        <v>5259</v>
      </c>
      <c r="M260" s="5">
        <v>68777</v>
      </c>
      <c r="N260" s="5" t="s">
        <v>38</v>
      </c>
      <c r="O260" s="5">
        <v>51</v>
      </c>
      <c r="P260" s="5">
        <v>2</v>
      </c>
      <c r="Q260" s="15" t="str">
        <f t="shared" si="14"/>
        <v>Average</v>
      </c>
      <c r="R260" s="6" t="s">
        <v>31</v>
      </c>
    </row>
    <row r="261" spans="1:18" x14ac:dyDescent="0.3">
      <c r="A261" s="4">
        <v>260</v>
      </c>
      <c r="B261" s="5" t="s">
        <v>295</v>
      </c>
      <c r="C261" s="5">
        <v>35</v>
      </c>
      <c r="D261" s="12" t="str">
        <f t="shared" si="12"/>
        <v>Mid Age</v>
      </c>
      <c r="E261" s="5" t="s">
        <v>16</v>
      </c>
      <c r="F261" s="5" t="s">
        <v>24</v>
      </c>
      <c r="G261" s="5" t="s">
        <v>25</v>
      </c>
      <c r="H261" s="5" t="s">
        <v>26</v>
      </c>
      <c r="I261" s="5">
        <v>19</v>
      </c>
      <c r="J261" s="12" t="str">
        <f t="shared" si="13"/>
        <v>Expert</v>
      </c>
      <c r="K261" s="5">
        <v>1260</v>
      </c>
      <c r="L261" s="5">
        <v>5260</v>
      </c>
      <c r="M261" s="5">
        <v>36994</v>
      </c>
      <c r="N261" s="5" t="s">
        <v>30</v>
      </c>
      <c r="O261" s="5">
        <v>37</v>
      </c>
      <c r="P261" s="5">
        <v>1</v>
      </c>
      <c r="Q261" s="15" t="str">
        <f t="shared" si="14"/>
        <v>Poor</v>
      </c>
      <c r="R261" s="6" t="s">
        <v>21</v>
      </c>
    </row>
    <row r="262" spans="1:18" x14ac:dyDescent="0.3">
      <c r="A262" s="4">
        <v>261</v>
      </c>
      <c r="B262" s="5" t="s">
        <v>296</v>
      </c>
      <c r="C262" s="5">
        <v>55</v>
      </c>
      <c r="D262" s="12" t="str">
        <f t="shared" si="12"/>
        <v>Senior</v>
      </c>
      <c r="E262" s="5" t="s">
        <v>23</v>
      </c>
      <c r="F262" s="5" t="s">
        <v>45</v>
      </c>
      <c r="G262" s="5" t="s">
        <v>33</v>
      </c>
      <c r="H262" s="5" t="s">
        <v>29</v>
      </c>
      <c r="I262" s="5">
        <v>2</v>
      </c>
      <c r="J262" s="12" t="str">
        <f t="shared" si="13"/>
        <v>Beginner</v>
      </c>
      <c r="K262" s="5">
        <v>1261</v>
      </c>
      <c r="L262" s="5">
        <v>5261</v>
      </c>
      <c r="M262" s="5">
        <v>87263</v>
      </c>
      <c r="N262" s="5" t="s">
        <v>27</v>
      </c>
      <c r="O262" s="5">
        <v>17</v>
      </c>
      <c r="P262" s="5">
        <v>1</v>
      </c>
      <c r="Q262" s="15" t="str">
        <f t="shared" si="14"/>
        <v>Poor</v>
      </c>
      <c r="R262" s="6" t="s">
        <v>31</v>
      </c>
    </row>
    <row r="263" spans="1:18" x14ac:dyDescent="0.3">
      <c r="A263" s="4">
        <v>262</v>
      </c>
      <c r="B263" s="5" t="s">
        <v>297</v>
      </c>
      <c r="C263" s="5">
        <v>52</v>
      </c>
      <c r="D263" s="12" t="str">
        <f t="shared" si="12"/>
        <v>Senior</v>
      </c>
      <c r="E263" s="5" t="s">
        <v>23</v>
      </c>
      <c r="F263" s="5" t="s">
        <v>17</v>
      </c>
      <c r="G263" s="5" t="s">
        <v>25</v>
      </c>
      <c r="H263" s="5" t="s">
        <v>19</v>
      </c>
      <c r="I263" s="5">
        <v>2</v>
      </c>
      <c r="J263" s="12" t="str">
        <f t="shared" si="13"/>
        <v>Beginner</v>
      </c>
      <c r="K263" s="5">
        <v>1262</v>
      </c>
      <c r="L263" s="5">
        <v>5262</v>
      </c>
      <c r="M263" s="5">
        <v>79634</v>
      </c>
      <c r="N263" s="5" t="s">
        <v>27</v>
      </c>
      <c r="O263" s="5">
        <v>58</v>
      </c>
      <c r="P263" s="5">
        <v>4</v>
      </c>
      <c r="Q263" s="15" t="str">
        <f t="shared" si="14"/>
        <v>Excellent</v>
      </c>
      <c r="R263" s="6" t="s">
        <v>36</v>
      </c>
    </row>
    <row r="264" spans="1:18" x14ac:dyDescent="0.3">
      <c r="A264" s="4">
        <v>263</v>
      </c>
      <c r="B264" s="5" t="s">
        <v>298</v>
      </c>
      <c r="C264" s="5">
        <v>23</v>
      </c>
      <c r="D264" s="12" t="str">
        <f t="shared" si="12"/>
        <v>Young</v>
      </c>
      <c r="E264" s="5" t="s">
        <v>16</v>
      </c>
      <c r="F264" s="5" t="s">
        <v>17</v>
      </c>
      <c r="G264" s="5" t="s">
        <v>25</v>
      </c>
      <c r="H264" s="5" t="s">
        <v>19</v>
      </c>
      <c r="I264" s="5">
        <v>8</v>
      </c>
      <c r="J264" s="12" t="str">
        <f t="shared" si="13"/>
        <v>Mid-level</v>
      </c>
      <c r="K264" s="5">
        <v>1263</v>
      </c>
      <c r="L264" s="5">
        <v>5263</v>
      </c>
      <c r="M264" s="5">
        <v>30800</v>
      </c>
      <c r="N264" s="5" t="s">
        <v>20</v>
      </c>
      <c r="O264" s="5">
        <v>87</v>
      </c>
      <c r="P264" s="5">
        <v>3</v>
      </c>
      <c r="Q264" s="15" t="str">
        <f t="shared" si="14"/>
        <v>Good</v>
      </c>
      <c r="R264" s="6" t="s">
        <v>21</v>
      </c>
    </row>
    <row r="265" spans="1:18" x14ac:dyDescent="0.3">
      <c r="A265" s="4">
        <v>264</v>
      </c>
      <c r="B265" s="5" t="s">
        <v>299</v>
      </c>
      <c r="C265" s="5">
        <v>52</v>
      </c>
      <c r="D265" s="12" t="str">
        <f t="shared" si="12"/>
        <v>Senior</v>
      </c>
      <c r="E265" s="5" t="s">
        <v>16</v>
      </c>
      <c r="F265" s="5" t="s">
        <v>24</v>
      </c>
      <c r="G265" s="5" t="s">
        <v>33</v>
      </c>
      <c r="H265" s="5" t="s">
        <v>26</v>
      </c>
      <c r="I265" s="5">
        <v>5</v>
      </c>
      <c r="J265" s="12" t="str">
        <f t="shared" si="13"/>
        <v>Junior</v>
      </c>
      <c r="K265" s="5">
        <v>1264</v>
      </c>
      <c r="L265" s="5">
        <v>5264</v>
      </c>
      <c r="M265" s="5">
        <v>57823</v>
      </c>
      <c r="N265" s="5" t="s">
        <v>27</v>
      </c>
      <c r="O265" s="5">
        <v>90</v>
      </c>
      <c r="P265" s="5">
        <v>4</v>
      </c>
      <c r="Q265" s="15" t="str">
        <f t="shared" si="14"/>
        <v>Excellent</v>
      </c>
      <c r="R265" s="6" t="s">
        <v>31</v>
      </c>
    </row>
    <row r="266" spans="1:18" x14ac:dyDescent="0.3">
      <c r="A266" s="4">
        <v>265</v>
      </c>
      <c r="B266" s="5" t="s">
        <v>300</v>
      </c>
      <c r="C266" s="5">
        <v>33</v>
      </c>
      <c r="D266" s="12" t="str">
        <f t="shared" si="12"/>
        <v>Mid Age</v>
      </c>
      <c r="E266" s="5" t="s">
        <v>23</v>
      </c>
      <c r="F266" s="5" t="s">
        <v>24</v>
      </c>
      <c r="G266" s="5" t="s">
        <v>25</v>
      </c>
      <c r="H266" s="5" t="s">
        <v>19</v>
      </c>
      <c r="I266" s="5">
        <v>12</v>
      </c>
      <c r="J266" s="12" t="str">
        <f t="shared" si="13"/>
        <v>Senior</v>
      </c>
      <c r="K266" s="5">
        <v>1265</v>
      </c>
      <c r="L266" s="5">
        <v>5265</v>
      </c>
      <c r="M266" s="5">
        <v>83878</v>
      </c>
      <c r="N266" s="5" t="s">
        <v>30</v>
      </c>
      <c r="O266" s="5">
        <v>29</v>
      </c>
      <c r="P266" s="5">
        <v>3</v>
      </c>
      <c r="Q266" s="15" t="str">
        <f t="shared" si="14"/>
        <v>Good</v>
      </c>
      <c r="R266" s="6" t="s">
        <v>40</v>
      </c>
    </row>
    <row r="267" spans="1:18" x14ac:dyDescent="0.3">
      <c r="A267" s="4">
        <v>266</v>
      </c>
      <c r="B267" s="5" t="s">
        <v>301</v>
      </c>
      <c r="C267" s="5">
        <v>40</v>
      </c>
      <c r="D267" s="12" t="str">
        <f t="shared" si="12"/>
        <v>Mid Age</v>
      </c>
      <c r="E267" s="5" t="s">
        <v>23</v>
      </c>
      <c r="F267" s="5" t="s">
        <v>43</v>
      </c>
      <c r="G267" s="5" t="s">
        <v>18</v>
      </c>
      <c r="H267" s="5" t="s">
        <v>26</v>
      </c>
      <c r="I267" s="5">
        <v>1</v>
      </c>
      <c r="J267" s="12" t="str">
        <f t="shared" si="13"/>
        <v>Beginner</v>
      </c>
      <c r="K267" s="5">
        <v>1266</v>
      </c>
      <c r="L267" s="5">
        <v>5266</v>
      </c>
      <c r="M267" s="5">
        <v>38708</v>
      </c>
      <c r="N267" s="5" t="s">
        <v>27</v>
      </c>
      <c r="O267" s="5">
        <v>33</v>
      </c>
      <c r="P267" s="5">
        <v>2</v>
      </c>
      <c r="Q267" s="15" t="str">
        <f t="shared" si="14"/>
        <v>Average</v>
      </c>
      <c r="R267" s="6" t="s">
        <v>40</v>
      </c>
    </row>
    <row r="268" spans="1:18" x14ac:dyDescent="0.3">
      <c r="A268" s="4">
        <v>267</v>
      </c>
      <c r="B268" s="5" t="s">
        <v>302</v>
      </c>
      <c r="C268" s="5">
        <v>39</v>
      </c>
      <c r="D268" s="12" t="str">
        <f t="shared" si="12"/>
        <v>Mid Age</v>
      </c>
      <c r="E268" s="5" t="s">
        <v>23</v>
      </c>
      <c r="F268" s="5" t="s">
        <v>45</v>
      </c>
      <c r="G268" s="5" t="s">
        <v>25</v>
      </c>
      <c r="H268" s="5" t="s">
        <v>29</v>
      </c>
      <c r="I268" s="5">
        <v>7</v>
      </c>
      <c r="J268" s="12" t="str">
        <f t="shared" si="13"/>
        <v>Mid-level</v>
      </c>
      <c r="K268" s="5">
        <v>1267</v>
      </c>
      <c r="L268" s="5">
        <v>5267</v>
      </c>
      <c r="M268" s="5">
        <v>32819</v>
      </c>
      <c r="N268" s="5" t="s">
        <v>20</v>
      </c>
      <c r="O268" s="5">
        <v>60</v>
      </c>
      <c r="P268" s="5">
        <v>3</v>
      </c>
      <c r="Q268" s="15" t="str">
        <f t="shared" si="14"/>
        <v>Good</v>
      </c>
      <c r="R268" s="6" t="s">
        <v>36</v>
      </c>
    </row>
    <row r="269" spans="1:18" x14ac:dyDescent="0.3">
      <c r="A269" s="4">
        <v>268</v>
      </c>
      <c r="B269" s="5" t="s">
        <v>303</v>
      </c>
      <c r="C269" s="5">
        <v>27</v>
      </c>
      <c r="D269" s="12" t="str">
        <f t="shared" si="12"/>
        <v>Young</v>
      </c>
      <c r="E269" s="5" t="s">
        <v>23</v>
      </c>
      <c r="F269" s="5" t="s">
        <v>45</v>
      </c>
      <c r="G269" s="5" t="s">
        <v>33</v>
      </c>
      <c r="H269" s="5" t="s">
        <v>26</v>
      </c>
      <c r="I269" s="5">
        <v>1</v>
      </c>
      <c r="J269" s="12" t="str">
        <f t="shared" si="13"/>
        <v>Beginner</v>
      </c>
      <c r="K269" s="5">
        <v>1268</v>
      </c>
      <c r="L269" s="5">
        <v>5268</v>
      </c>
      <c r="M269" s="5">
        <v>94905</v>
      </c>
      <c r="N269" s="5" t="s">
        <v>20</v>
      </c>
      <c r="O269" s="5">
        <v>91</v>
      </c>
      <c r="P269" s="5">
        <v>4</v>
      </c>
      <c r="Q269" s="15" t="str">
        <f t="shared" si="14"/>
        <v>Excellent</v>
      </c>
      <c r="R269" s="6" t="s">
        <v>31</v>
      </c>
    </row>
    <row r="270" spans="1:18" x14ac:dyDescent="0.3">
      <c r="A270" s="4">
        <v>269</v>
      </c>
      <c r="B270" s="5" t="s">
        <v>304</v>
      </c>
      <c r="C270" s="5">
        <v>26</v>
      </c>
      <c r="D270" s="12" t="str">
        <f t="shared" si="12"/>
        <v>Young</v>
      </c>
      <c r="E270" s="5" t="s">
        <v>16</v>
      </c>
      <c r="F270" s="5" t="s">
        <v>43</v>
      </c>
      <c r="G270" s="5" t="s">
        <v>18</v>
      </c>
      <c r="H270" s="5" t="s">
        <v>19</v>
      </c>
      <c r="I270" s="5">
        <v>3</v>
      </c>
      <c r="J270" s="12" t="str">
        <f t="shared" si="13"/>
        <v>Junior</v>
      </c>
      <c r="K270" s="5">
        <v>1269</v>
      </c>
      <c r="L270" s="5">
        <v>5269</v>
      </c>
      <c r="M270" s="5">
        <v>83870</v>
      </c>
      <c r="N270" s="5" t="s">
        <v>30</v>
      </c>
      <c r="O270" s="5">
        <v>89</v>
      </c>
      <c r="P270" s="5">
        <v>4</v>
      </c>
      <c r="Q270" s="15" t="str">
        <f t="shared" si="14"/>
        <v>Excellent</v>
      </c>
      <c r="R270" s="6" t="s">
        <v>36</v>
      </c>
    </row>
    <row r="271" spans="1:18" x14ac:dyDescent="0.3">
      <c r="A271" s="4">
        <v>270</v>
      </c>
      <c r="B271" s="5" t="s">
        <v>305</v>
      </c>
      <c r="C271" s="5">
        <v>22</v>
      </c>
      <c r="D271" s="12" t="str">
        <f t="shared" si="12"/>
        <v>Young</v>
      </c>
      <c r="E271" s="5" t="s">
        <v>23</v>
      </c>
      <c r="F271" s="5" t="s">
        <v>45</v>
      </c>
      <c r="G271" s="5" t="s">
        <v>33</v>
      </c>
      <c r="H271" s="5" t="s">
        <v>29</v>
      </c>
      <c r="I271" s="5">
        <v>14</v>
      </c>
      <c r="J271" s="12" t="str">
        <f t="shared" si="13"/>
        <v>Senior</v>
      </c>
      <c r="K271" s="5">
        <v>1270</v>
      </c>
      <c r="L271" s="5">
        <v>5270</v>
      </c>
      <c r="M271" s="5">
        <v>29283</v>
      </c>
      <c r="N271" s="5" t="s">
        <v>30</v>
      </c>
      <c r="O271" s="5">
        <v>55</v>
      </c>
      <c r="P271" s="5">
        <v>4</v>
      </c>
      <c r="Q271" s="15" t="str">
        <f t="shared" si="14"/>
        <v>Excellent</v>
      </c>
      <c r="R271" s="6" t="s">
        <v>21</v>
      </c>
    </row>
    <row r="272" spans="1:18" x14ac:dyDescent="0.3">
      <c r="A272" s="4">
        <v>271</v>
      </c>
      <c r="B272" s="5" t="s">
        <v>306</v>
      </c>
      <c r="C272" s="5">
        <v>36</v>
      </c>
      <c r="D272" s="12" t="str">
        <f t="shared" si="12"/>
        <v>Mid Age</v>
      </c>
      <c r="E272" s="5" t="s">
        <v>16</v>
      </c>
      <c r="F272" s="5" t="s">
        <v>45</v>
      </c>
      <c r="G272" s="5" t="s">
        <v>33</v>
      </c>
      <c r="H272" s="5" t="s">
        <v>26</v>
      </c>
      <c r="I272" s="5">
        <v>3</v>
      </c>
      <c r="J272" s="12" t="str">
        <f t="shared" si="13"/>
        <v>Junior</v>
      </c>
      <c r="K272" s="5">
        <v>1271</v>
      </c>
      <c r="L272" s="5">
        <v>5271</v>
      </c>
      <c r="M272" s="5">
        <v>50573</v>
      </c>
      <c r="N272" s="5" t="s">
        <v>27</v>
      </c>
      <c r="O272" s="5">
        <v>10</v>
      </c>
      <c r="P272" s="5">
        <v>2</v>
      </c>
      <c r="Q272" s="15" t="str">
        <f t="shared" si="14"/>
        <v>Average</v>
      </c>
      <c r="R272" s="6" t="s">
        <v>40</v>
      </c>
    </row>
    <row r="273" spans="1:18" x14ac:dyDescent="0.3">
      <c r="A273" s="4">
        <v>272</v>
      </c>
      <c r="B273" s="5" t="s">
        <v>307</v>
      </c>
      <c r="C273" s="5">
        <v>52</v>
      </c>
      <c r="D273" s="12" t="str">
        <f t="shared" si="12"/>
        <v>Senior</v>
      </c>
      <c r="E273" s="5" t="s">
        <v>23</v>
      </c>
      <c r="F273" s="5" t="s">
        <v>45</v>
      </c>
      <c r="G273" s="5" t="s">
        <v>46</v>
      </c>
      <c r="H273" s="5" t="s">
        <v>26</v>
      </c>
      <c r="I273" s="5">
        <v>12</v>
      </c>
      <c r="J273" s="12" t="str">
        <f t="shared" si="13"/>
        <v>Senior</v>
      </c>
      <c r="K273" s="5">
        <v>1272</v>
      </c>
      <c r="L273" s="5">
        <v>5272</v>
      </c>
      <c r="M273" s="5">
        <v>98707</v>
      </c>
      <c r="N273" s="5" t="s">
        <v>27</v>
      </c>
      <c r="O273" s="5">
        <v>47</v>
      </c>
      <c r="P273" s="5">
        <v>3</v>
      </c>
      <c r="Q273" s="15" t="str">
        <f t="shared" si="14"/>
        <v>Good</v>
      </c>
      <c r="R273" s="6" t="s">
        <v>21</v>
      </c>
    </row>
    <row r="274" spans="1:18" x14ac:dyDescent="0.3">
      <c r="A274" s="4">
        <v>273</v>
      </c>
      <c r="B274" s="5" t="s">
        <v>308</v>
      </c>
      <c r="C274" s="5">
        <v>31</v>
      </c>
      <c r="D274" s="12" t="str">
        <f t="shared" si="12"/>
        <v>Mid Age</v>
      </c>
      <c r="E274" s="5" t="s">
        <v>23</v>
      </c>
      <c r="F274" s="5" t="s">
        <v>45</v>
      </c>
      <c r="G274" s="5" t="s">
        <v>46</v>
      </c>
      <c r="H274" s="5" t="s">
        <v>29</v>
      </c>
      <c r="I274" s="5">
        <v>11</v>
      </c>
      <c r="J274" s="12" t="str">
        <f t="shared" si="13"/>
        <v>Senior</v>
      </c>
      <c r="K274" s="5">
        <v>1273</v>
      </c>
      <c r="L274" s="5">
        <v>5273</v>
      </c>
      <c r="M274" s="5">
        <v>50933</v>
      </c>
      <c r="N274" s="5" t="s">
        <v>20</v>
      </c>
      <c r="O274" s="5">
        <v>23</v>
      </c>
      <c r="P274" s="5">
        <v>3</v>
      </c>
      <c r="Q274" s="15" t="str">
        <f t="shared" si="14"/>
        <v>Good</v>
      </c>
      <c r="R274" s="6" t="s">
        <v>31</v>
      </c>
    </row>
    <row r="275" spans="1:18" x14ac:dyDescent="0.3">
      <c r="A275" s="4">
        <v>274</v>
      </c>
      <c r="B275" s="5" t="s">
        <v>309</v>
      </c>
      <c r="C275" s="5">
        <v>41</v>
      </c>
      <c r="D275" s="12" t="str">
        <f t="shared" si="12"/>
        <v>Elder</v>
      </c>
      <c r="E275" s="5" t="s">
        <v>23</v>
      </c>
      <c r="F275" s="5" t="s">
        <v>45</v>
      </c>
      <c r="G275" s="5" t="s">
        <v>33</v>
      </c>
      <c r="H275" s="5" t="s">
        <v>29</v>
      </c>
      <c r="I275" s="5">
        <v>12</v>
      </c>
      <c r="J275" s="12" t="str">
        <f t="shared" si="13"/>
        <v>Senior</v>
      </c>
      <c r="K275" s="5">
        <v>1274</v>
      </c>
      <c r="L275" s="5">
        <v>5274</v>
      </c>
      <c r="M275" s="5">
        <v>25774</v>
      </c>
      <c r="N275" s="5" t="s">
        <v>30</v>
      </c>
      <c r="O275" s="5">
        <v>85</v>
      </c>
      <c r="P275" s="5">
        <v>4</v>
      </c>
      <c r="Q275" s="15" t="str">
        <f t="shared" si="14"/>
        <v>Excellent</v>
      </c>
      <c r="R275" s="6" t="s">
        <v>36</v>
      </c>
    </row>
    <row r="276" spans="1:18" x14ac:dyDescent="0.3">
      <c r="A276" s="4">
        <v>275</v>
      </c>
      <c r="B276" s="5" t="s">
        <v>310</v>
      </c>
      <c r="C276" s="5">
        <v>41</v>
      </c>
      <c r="D276" s="12" t="str">
        <f t="shared" si="12"/>
        <v>Elder</v>
      </c>
      <c r="E276" s="5" t="s">
        <v>23</v>
      </c>
      <c r="F276" s="5" t="s">
        <v>24</v>
      </c>
      <c r="G276" s="5" t="s">
        <v>33</v>
      </c>
      <c r="H276" s="5" t="s">
        <v>26</v>
      </c>
      <c r="I276" s="5">
        <v>13</v>
      </c>
      <c r="J276" s="12" t="str">
        <f t="shared" si="13"/>
        <v>Senior</v>
      </c>
      <c r="K276" s="5">
        <v>1275</v>
      </c>
      <c r="L276" s="5">
        <v>5275</v>
      </c>
      <c r="M276" s="5">
        <v>92055</v>
      </c>
      <c r="N276" s="5" t="s">
        <v>30</v>
      </c>
      <c r="O276" s="5">
        <v>21</v>
      </c>
      <c r="P276" s="5">
        <v>3</v>
      </c>
      <c r="Q276" s="15" t="str">
        <f t="shared" si="14"/>
        <v>Good</v>
      </c>
      <c r="R276" s="6" t="s">
        <v>36</v>
      </c>
    </row>
    <row r="277" spans="1:18" x14ac:dyDescent="0.3">
      <c r="A277" s="4">
        <v>276</v>
      </c>
      <c r="B277" s="5" t="s">
        <v>311</v>
      </c>
      <c r="C277" s="5">
        <v>49</v>
      </c>
      <c r="D277" s="12" t="str">
        <f t="shared" si="12"/>
        <v>Elder</v>
      </c>
      <c r="E277" s="5" t="s">
        <v>23</v>
      </c>
      <c r="F277" s="5" t="s">
        <v>45</v>
      </c>
      <c r="G277" s="5" t="s">
        <v>33</v>
      </c>
      <c r="H277" s="5" t="s">
        <v>19</v>
      </c>
      <c r="I277" s="5">
        <v>19</v>
      </c>
      <c r="J277" s="12" t="str">
        <f t="shared" si="13"/>
        <v>Expert</v>
      </c>
      <c r="K277" s="5">
        <v>1276</v>
      </c>
      <c r="L277" s="5">
        <v>5276</v>
      </c>
      <c r="M277" s="5">
        <v>30983</v>
      </c>
      <c r="N277" s="5" t="s">
        <v>30</v>
      </c>
      <c r="O277" s="5">
        <v>13</v>
      </c>
      <c r="P277" s="5">
        <v>1</v>
      </c>
      <c r="Q277" s="15" t="str">
        <f t="shared" si="14"/>
        <v>Poor</v>
      </c>
      <c r="R277" s="6" t="s">
        <v>36</v>
      </c>
    </row>
    <row r="278" spans="1:18" x14ac:dyDescent="0.3">
      <c r="A278" s="4">
        <v>277</v>
      </c>
      <c r="B278" s="5" t="s">
        <v>312</v>
      </c>
      <c r="C278" s="5">
        <v>57</v>
      </c>
      <c r="D278" s="12" t="str">
        <f t="shared" si="12"/>
        <v>Senior</v>
      </c>
      <c r="E278" s="5" t="s">
        <v>16</v>
      </c>
      <c r="F278" s="5" t="s">
        <v>24</v>
      </c>
      <c r="G278" s="5" t="s">
        <v>46</v>
      </c>
      <c r="H278" s="5" t="s">
        <v>26</v>
      </c>
      <c r="I278" s="5">
        <v>17</v>
      </c>
      <c r="J278" s="12" t="str">
        <f t="shared" si="13"/>
        <v>Expert</v>
      </c>
      <c r="K278" s="5">
        <v>1277</v>
      </c>
      <c r="L278" s="5">
        <v>5277</v>
      </c>
      <c r="M278" s="5">
        <v>116468</v>
      </c>
      <c r="N278" s="5" t="s">
        <v>27</v>
      </c>
      <c r="O278" s="5">
        <v>33</v>
      </c>
      <c r="P278" s="5">
        <v>1</v>
      </c>
      <c r="Q278" s="15" t="str">
        <f t="shared" si="14"/>
        <v>Poor</v>
      </c>
      <c r="R278" s="6" t="s">
        <v>21</v>
      </c>
    </row>
    <row r="279" spans="1:18" x14ac:dyDescent="0.3">
      <c r="A279" s="4">
        <v>278</v>
      </c>
      <c r="B279" s="5" t="s">
        <v>313</v>
      </c>
      <c r="C279" s="5">
        <v>57</v>
      </c>
      <c r="D279" s="12" t="str">
        <f t="shared" si="12"/>
        <v>Senior</v>
      </c>
      <c r="E279" s="5" t="s">
        <v>16</v>
      </c>
      <c r="F279" s="5" t="s">
        <v>45</v>
      </c>
      <c r="G279" s="5" t="s">
        <v>46</v>
      </c>
      <c r="H279" s="5" t="s">
        <v>29</v>
      </c>
      <c r="I279" s="5">
        <v>5</v>
      </c>
      <c r="J279" s="12" t="str">
        <f t="shared" si="13"/>
        <v>Junior</v>
      </c>
      <c r="K279" s="5">
        <v>1278</v>
      </c>
      <c r="L279" s="5">
        <v>5278</v>
      </c>
      <c r="M279" s="5">
        <v>116334</v>
      </c>
      <c r="N279" s="5" t="s">
        <v>30</v>
      </c>
      <c r="O279" s="5">
        <v>24</v>
      </c>
      <c r="P279" s="5">
        <v>1</v>
      </c>
      <c r="Q279" s="15" t="str">
        <f t="shared" si="14"/>
        <v>Poor</v>
      </c>
      <c r="R279" s="6" t="s">
        <v>40</v>
      </c>
    </row>
    <row r="280" spans="1:18" x14ac:dyDescent="0.3">
      <c r="A280" s="4">
        <v>279</v>
      </c>
      <c r="B280" s="5" t="s">
        <v>314</v>
      </c>
      <c r="C280" s="5">
        <v>27</v>
      </c>
      <c r="D280" s="12" t="str">
        <f t="shared" si="12"/>
        <v>Young</v>
      </c>
      <c r="E280" s="5" t="s">
        <v>23</v>
      </c>
      <c r="F280" s="5" t="s">
        <v>43</v>
      </c>
      <c r="G280" s="5" t="s">
        <v>25</v>
      </c>
      <c r="H280" s="5" t="s">
        <v>26</v>
      </c>
      <c r="I280" s="5">
        <v>10</v>
      </c>
      <c r="J280" s="12" t="str">
        <f t="shared" si="13"/>
        <v>Mid-level</v>
      </c>
      <c r="K280" s="5">
        <v>1279</v>
      </c>
      <c r="L280" s="5">
        <v>5279</v>
      </c>
      <c r="M280" s="5">
        <v>38133</v>
      </c>
      <c r="N280" s="5" t="s">
        <v>20</v>
      </c>
      <c r="O280" s="5">
        <v>11</v>
      </c>
      <c r="P280" s="5">
        <v>3</v>
      </c>
      <c r="Q280" s="15" t="str">
        <f t="shared" si="14"/>
        <v>Good</v>
      </c>
      <c r="R280" s="6" t="s">
        <v>21</v>
      </c>
    </row>
    <row r="281" spans="1:18" x14ac:dyDescent="0.3">
      <c r="A281" s="4">
        <v>280</v>
      </c>
      <c r="B281" s="5" t="s">
        <v>315</v>
      </c>
      <c r="C281" s="5">
        <v>46</v>
      </c>
      <c r="D281" s="12" t="str">
        <f t="shared" si="12"/>
        <v>Elder</v>
      </c>
      <c r="E281" s="5" t="s">
        <v>23</v>
      </c>
      <c r="F281" s="5" t="s">
        <v>17</v>
      </c>
      <c r="G281" s="5" t="s">
        <v>25</v>
      </c>
      <c r="H281" s="5" t="s">
        <v>29</v>
      </c>
      <c r="I281" s="5">
        <v>1</v>
      </c>
      <c r="J281" s="12" t="str">
        <f t="shared" si="13"/>
        <v>Beginner</v>
      </c>
      <c r="K281" s="5">
        <v>1280</v>
      </c>
      <c r="L281" s="5">
        <v>5280</v>
      </c>
      <c r="M281" s="5">
        <v>34939</v>
      </c>
      <c r="N281" s="5" t="s">
        <v>20</v>
      </c>
      <c r="O281" s="5">
        <v>17</v>
      </c>
      <c r="P281" s="5">
        <v>2</v>
      </c>
      <c r="Q281" s="15" t="str">
        <f t="shared" si="14"/>
        <v>Average</v>
      </c>
      <c r="R281" s="6" t="s">
        <v>21</v>
      </c>
    </row>
    <row r="282" spans="1:18" x14ac:dyDescent="0.3">
      <c r="A282" s="4">
        <v>281</v>
      </c>
      <c r="B282" s="5" t="s">
        <v>316</v>
      </c>
      <c r="C282" s="5">
        <v>46</v>
      </c>
      <c r="D282" s="12" t="str">
        <f t="shared" si="12"/>
        <v>Elder</v>
      </c>
      <c r="E282" s="5" t="s">
        <v>16</v>
      </c>
      <c r="F282" s="5" t="s">
        <v>24</v>
      </c>
      <c r="G282" s="5" t="s">
        <v>33</v>
      </c>
      <c r="H282" s="5" t="s">
        <v>29</v>
      </c>
      <c r="I282" s="5">
        <v>18</v>
      </c>
      <c r="J282" s="12" t="str">
        <f t="shared" si="13"/>
        <v>Expert</v>
      </c>
      <c r="K282" s="5">
        <v>1281</v>
      </c>
      <c r="L282" s="5">
        <v>5281</v>
      </c>
      <c r="M282" s="5">
        <v>20781</v>
      </c>
      <c r="N282" s="5" t="s">
        <v>27</v>
      </c>
      <c r="O282" s="5">
        <v>68</v>
      </c>
      <c r="P282" s="5">
        <v>2</v>
      </c>
      <c r="Q282" s="15" t="str">
        <f t="shared" si="14"/>
        <v>Average</v>
      </c>
      <c r="R282" s="6" t="s">
        <v>31</v>
      </c>
    </row>
    <row r="283" spans="1:18" x14ac:dyDescent="0.3">
      <c r="A283" s="4">
        <v>282</v>
      </c>
      <c r="B283" s="5" t="s">
        <v>317</v>
      </c>
      <c r="C283" s="5">
        <v>53</v>
      </c>
      <c r="D283" s="12" t="str">
        <f t="shared" si="12"/>
        <v>Senior</v>
      </c>
      <c r="E283" s="5" t="s">
        <v>23</v>
      </c>
      <c r="F283" s="5" t="s">
        <v>45</v>
      </c>
      <c r="G283" s="5" t="s">
        <v>18</v>
      </c>
      <c r="H283" s="5" t="s">
        <v>19</v>
      </c>
      <c r="I283" s="5">
        <v>18</v>
      </c>
      <c r="J283" s="12" t="str">
        <f t="shared" si="13"/>
        <v>Expert</v>
      </c>
      <c r="K283" s="5">
        <v>1282</v>
      </c>
      <c r="L283" s="5">
        <v>5282</v>
      </c>
      <c r="M283" s="5">
        <v>76700</v>
      </c>
      <c r="N283" s="5" t="s">
        <v>38</v>
      </c>
      <c r="O283" s="5">
        <v>47</v>
      </c>
      <c r="P283" s="5">
        <v>2</v>
      </c>
      <c r="Q283" s="15" t="str">
        <f t="shared" si="14"/>
        <v>Average</v>
      </c>
      <c r="R283" s="6" t="s">
        <v>31</v>
      </c>
    </row>
    <row r="284" spans="1:18" x14ac:dyDescent="0.3">
      <c r="A284" s="4">
        <v>283</v>
      </c>
      <c r="B284" s="5" t="s">
        <v>318</v>
      </c>
      <c r="C284" s="5">
        <v>40</v>
      </c>
      <c r="D284" s="12" t="str">
        <f t="shared" si="12"/>
        <v>Mid Age</v>
      </c>
      <c r="E284" s="5" t="s">
        <v>23</v>
      </c>
      <c r="F284" s="5" t="s">
        <v>43</v>
      </c>
      <c r="G284" s="5" t="s">
        <v>18</v>
      </c>
      <c r="H284" s="5" t="s">
        <v>29</v>
      </c>
      <c r="I284" s="5">
        <v>4</v>
      </c>
      <c r="J284" s="12" t="str">
        <f t="shared" si="13"/>
        <v>Junior</v>
      </c>
      <c r="K284" s="5">
        <v>1283</v>
      </c>
      <c r="L284" s="5">
        <v>5283</v>
      </c>
      <c r="M284" s="5">
        <v>47624</v>
      </c>
      <c r="N284" s="5" t="s">
        <v>27</v>
      </c>
      <c r="O284" s="5">
        <v>25</v>
      </c>
      <c r="P284" s="5">
        <v>2</v>
      </c>
      <c r="Q284" s="15" t="str">
        <f t="shared" si="14"/>
        <v>Average</v>
      </c>
      <c r="R284" s="6" t="s">
        <v>31</v>
      </c>
    </row>
    <row r="285" spans="1:18" x14ac:dyDescent="0.3">
      <c r="A285" s="4">
        <v>284</v>
      </c>
      <c r="B285" s="5" t="s">
        <v>319</v>
      </c>
      <c r="C285" s="5">
        <v>49</v>
      </c>
      <c r="D285" s="12" t="str">
        <f t="shared" si="12"/>
        <v>Elder</v>
      </c>
      <c r="E285" s="5" t="s">
        <v>16</v>
      </c>
      <c r="F285" s="5" t="s">
        <v>17</v>
      </c>
      <c r="G285" s="5" t="s">
        <v>46</v>
      </c>
      <c r="H285" s="5" t="s">
        <v>29</v>
      </c>
      <c r="I285" s="5">
        <v>18</v>
      </c>
      <c r="J285" s="12" t="str">
        <f t="shared" si="13"/>
        <v>Expert</v>
      </c>
      <c r="K285" s="5">
        <v>1284</v>
      </c>
      <c r="L285" s="5">
        <v>5284</v>
      </c>
      <c r="M285" s="5">
        <v>26823</v>
      </c>
      <c r="N285" s="5" t="s">
        <v>38</v>
      </c>
      <c r="O285" s="5">
        <v>94</v>
      </c>
      <c r="P285" s="5">
        <v>1</v>
      </c>
      <c r="Q285" s="15" t="str">
        <f t="shared" si="14"/>
        <v>Poor</v>
      </c>
      <c r="R285" s="6" t="s">
        <v>40</v>
      </c>
    </row>
    <row r="286" spans="1:18" x14ac:dyDescent="0.3">
      <c r="A286" s="4">
        <v>285</v>
      </c>
      <c r="B286" s="5" t="s">
        <v>320</v>
      </c>
      <c r="C286" s="5">
        <v>52</v>
      </c>
      <c r="D286" s="12" t="str">
        <f t="shared" si="12"/>
        <v>Senior</v>
      </c>
      <c r="E286" s="5" t="s">
        <v>23</v>
      </c>
      <c r="F286" s="5" t="s">
        <v>24</v>
      </c>
      <c r="G286" s="5" t="s">
        <v>46</v>
      </c>
      <c r="H286" s="5" t="s">
        <v>19</v>
      </c>
      <c r="I286" s="5">
        <v>1</v>
      </c>
      <c r="J286" s="12" t="str">
        <f t="shared" si="13"/>
        <v>Beginner</v>
      </c>
      <c r="K286" s="5">
        <v>1285</v>
      </c>
      <c r="L286" s="5">
        <v>5285</v>
      </c>
      <c r="M286" s="5">
        <v>38489</v>
      </c>
      <c r="N286" s="5" t="s">
        <v>30</v>
      </c>
      <c r="O286" s="5">
        <v>73</v>
      </c>
      <c r="P286" s="5">
        <v>1</v>
      </c>
      <c r="Q286" s="15" t="str">
        <f t="shared" si="14"/>
        <v>Poor</v>
      </c>
      <c r="R286" s="6" t="s">
        <v>40</v>
      </c>
    </row>
    <row r="287" spans="1:18" x14ac:dyDescent="0.3">
      <c r="A287" s="4">
        <v>286</v>
      </c>
      <c r="B287" s="5" t="s">
        <v>321</v>
      </c>
      <c r="C287" s="5">
        <v>47</v>
      </c>
      <c r="D287" s="12" t="str">
        <f t="shared" si="12"/>
        <v>Elder</v>
      </c>
      <c r="E287" s="5" t="s">
        <v>23</v>
      </c>
      <c r="F287" s="5" t="s">
        <v>17</v>
      </c>
      <c r="G287" s="5" t="s">
        <v>46</v>
      </c>
      <c r="H287" s="5" t="s">
        <v>29</v>
      </c>
      <c r="I287" s="5">
        <v>9</v>
      </c>
      <c r="J287" s="12" t="str">
        <f t="shared" si="13"/>
        <v>Mid-level</v>
      </c>
      <c r="K287" s="5">
        <v>1286</v>
      </c>
      <c r="L287" s="5">
        <v>5286</v>
      </c>
      <c r="M287" s="5">
        <v>59961</v>
      </c>
      <c r="N287" s="5" t="s">
        <v>27</v>
      </c>
      <c r="O287" s="5">
        <v>21</v>
      </c>
      <c r="P287" s="5">
        <v>4</v>
      </c>
      <c r="Q287" s="15" t="str">
        <f t="shared" si="14"/>
        <v>Excellent</v>
      </c>
      <c r="R287" s="6" t="s">
        <v>31</v>
      </c>
    </row>
    <row r="288" spans="1:18" x14ac:dyDescent="0.3">
      <c r="A288" s="4">
        <v>287</v>
      </c>
      <c r="B288" s="5" t="s">
        <v>322</v>
      </c>
      <c r="C288" s="5">
        <v>52</v>
      </c>
      <c r="D288" s="12" t="str">
        <f t="shared" si="12"/>
        <v>Senior</v>
      </c>
      <c r="E288" s="5" t="s">
        <v>16</v>
      </c>
      <c r="F288" s="5" t="s">
        <v>43</v>
      </c>
      <c r="G288" s="5" t="s">
        <v>33</v>
      </c>
      <c r="H288" s="5" t="s">
        <v>19</v>
      </c>
      <c r="I288" s="5">
        <v>1</v>
      </c>
      <c r="J288" s="12" t="str">
        <f t="shared" si="13"/>
        <v>Beginner</v>
      </c>
      <c r="K288" s="5">
        <v>1287</v>
      </c>
      <c r="L288" s="5">
        <v>5287</v>
      </c>
      <c r="M288" s="5">
        <v>49118</v>
      </c>
      <c r="N288" s="5" t="s">
        <v>20</v>
      </c>
      <c r="O288" s="5">
        <v>84</v>
      </c>
      <c r="P288" s="5">
        <v>3</v>
      </c>
      <c r="Q288" s="15" t="str">
        <f t="shared" si="14"/>
        <v>Good</v>
      </c>
      <c r="R288" s="6" t="s">
        <v>31</v>
      </c>
    </row>
    <row r="289" spans="1:18" x14ac:dyDescent="0.3">
      <c r="A289" s="4">
        <v>288</v>
      </c>
      <c r="B289" s="5" t="s">
        <v>323</v>
      </c>
      <c r="C289" s="5">
        <v>24</v>
      </c>
      <c r="D289" s="12" t="str">
        <f t="shared" si="12"/>
        <v>Young</v>
      </c>
      <c r="E289" s="5" t="s">
        <v>16</v>
      </c>
      <c r="F289" s="5" t="s">
        <v>24</v>
      </c>
      <c r="G289" s="5" t="s">
        <v>18</v>
      </c>
      <c r="H289" s="5" t="s">
        <v>19</v>
      </c>
      <c r="I289" s="5">
        <v>10</v>
      </c>
      <c r="J289" s="12" t="str">
        <f t="shared" si="13"/>
        <v>Mid-level</v>
      </c>
      <c r="K289" s="5">
        <v>1288</v>
      </c>
      <c r="L289" s="5">
        <v>5288</v>
      </c>
      <c r="M289" s="5">
        <v>101816</v>
      </c>
      <c r="N289" s="5" t="s">
        <v>30</v>
      </c>
      <c r="O289" s="5">
        <v>83</v>
      </c>
      <c r="P289" s="5">
        <v>3</v>
      </c>
      <c r="Q289" s="15" t="str">
        <f t="shared" si="14"/>
        <v>Good</v>
      </c>
      <c r="R289" s="6" t="s">
        <v>40</v>
      </c>
    </row>
    <row r="290" spans="1:18" x14ac:dyDescent="0.3">
      <c r="A290" s="4">
        <v>289</v>
      </c>
      <c r="B290" s="5" t="s">
        <v>324</v>
      </c>
      <c r="C290" s="5">
        <v>38</v>
      </c>
      <c r="D290" s="12" t="str">
        <f t="shared" si="12"/>
        <v>Mid Age</v>
      </c>
      <c r="E290" s="5" t="s">
        <v>16</v>
      </c>
      <c r="F290" s="5" t="s">
        <v>17</v>
      </c>
      <c r="G290" s="5" t="s">
        <v>25</v>
      </c>
      <c r="H290" s="5" t="s">
        <v>29</v>
      </c>
      <c r="I290" s="5">
        <v>17</v>
      </c>
      <c r="J290" s="12" t="str">
        <f t="shared" si="13"/>
        <v>Expert</v>
      </c>
      <c r="K290" s="5">
        <v>1289</v>
      </c>
      <c r="L290" s="5">
        <v>5289</v>
      </c>
      <c r="M290" s="5">
        <v>42263</v>
      </c>
      <c r="N290" s="5" t="s">
        <v>20</v>
      </c>
      <c r="O290" s="5">
        <v>83</v>
      </c>
      <c r="P290" s="5">
        <v>2</v>
      </c>
      <c r="Q290" s="15" t="str">
        <f t="shared" si="14"/>
        <v>Average</v>
      </c>
      <c r="R290" s="6" t="s">
        <v>36</v>
      </c>
    </row>
    <row r="291" spans="1:18" x14ac:dyDescent="0.3">
      <c r="A291" s="4">
        <v>290</v>
      </c>
      <c r="B291" s="5" t="s">
        <v>325</v>
      </c>
      <c r="C291" s="5">
        <v>23</v>
      </c>
      <c r="D291" s="12" t="str">
        <f t="shared" si="12"/>
        <v>Young</v>
      </c>
      <c r="E291" s="5" t="s">
        <v>23</v>
      </c>
      <c r="F291" s="5" t="s">
        <v>45</v>
      </c>
      <c r="G291" s="5" t="s">
        <v>33</v>
      </c>
      <c r="H291" s="5" t="s">
        <v>29</v>
      </c>
      <c r="I291" s="5">
        <v>14</v>
      </c>
      <c r="J291" s="12" t="str">
        <f t="shared" si="13"/>
        <v>Senior</v>
      </c>
      <c r="K291" s="5">
        <v>1290</v>
      </c>
      <c r="L291" s="5">
        <v>5290</v>
      </c>
      <c r="M291" s="5">
        <v>33565</v>
      </c>
      <c r="N291" s="5" t="s">
        <v>30</v>
      </c>
      <c r="O291" s="5">
        <v>12</v>
      </c>
      <c r="P291" s="5">
        <v>1</v>
      </c>
      <c r="Q291" s="15" t="str">
        <f t="shared" si="14"/>
        <v>Poor</v>
      </c>
      <c r="R291" s="6" t="s">
        <v>40</v>
      </c>
    </row>
    <row r="292" spans="1:18" x14ac:dyDescent="0.3">
      <c r="A292" s="4">
        <v>291</v>
      </c>
      <c r="B292" s="5" t="s">
        <v>326</v>
      </c>
      <c r="C292" s="5">
        <v>54</v>
      </c>
      <c r="D292" s="12" t="str">
        <f t="shared" si="12"/>
        <v>Senior</v>
      </c>
      <c r="E292" s="5" t="s">
        <v>16</v>
      </c>
      <c r="F292" s="5" t="s">
        <v>24</v>
      </c>
      <c r="G292" s="5" t="s">
        <v>25</v>
      </c>
      <c r="H292" s="5" t="s">
        <v>26</v>
      </c>
      <c r="I292" s="5">
        <v>8</v>
      </c>
      <c r="J292" s="12" t="str">
        <f t="shared" si="13"/>
        <v>Mid-level</v>
      </c>
      <c r="K292" s="5">
        <v>1291</v>
      </c>
      <c r="L292" s="5">
        <v>5291</v>
      </c>
      <c r="M292" s="5">
        <v>40354</v>
      </c>
      <c r="N292" s="5" t="s">
        <v>27</v>
      </c>
      <c r="O292" s="5">
        <v>37</v>
      </c>
      <c r="P292" s="5">
        <v>2</v>
      </c>
      <c r="Q292" s="15" t="str">
        <f t="shared" si="14"/>
        <v>Average</v>
      </c>
      <c r="R292" s="6" t="s">
        <v>40</v>
      </c>
    </row>
    <row r="293" spans="1:18" x14ac:dyDescent="0.3">
      <c r="A293" s="4">
        <v>292</v>
      </c>
      <c r="B293" s="5" t="s">
        <v>327</v>
      </c>
      <c r="C293" s="5">
        <v>36</v>
      </c>
      <c r="D293" s="12" t="str">
        <f t="shared" si="12"/>
        <v>Mid Age</v>
      </c>
      <c r="E293" s="5" t="s">
        <v>16</v>
      </c>
      <c r="F293" s="5" t="s">
        <v>17</v>
      </c>
      <c r="G293" s="5" t="s">
        <v>25</v>
      </c>
      <c r="H293" s="5" t="s">
        <v>19</v>
      </c>
      <c r="I293" s="5">
        <v>18</v>
      </c>
      <c r="J293" s="12" t="str">
        <f t="shared" si="13"/>
        <v>Expert</v>
      </c>
      <c r="K293" s="5">
        <v>1292</v>
      </c>
      <c r="L293" s="5">
        <v>5292</v>
      </c>
      <c r="M293" s="5">
        <v>62951</v>
      </c>
      <c r="N293" s="5" t="s">
        <v>38</v>
      </c>
      <c r="O293" s="5">
        <v>42</v>
      </c>
      <c r="P293" s="5">
        <v>4</v>
      </c>
      <c r="Q293" s="15" t="str">
        <f t="shared" si="14"/>
        <v>Excellent</v>
      </c>
      <c r="R293" s="6" t="s">
        <v>40</v>
      </c>
    </row>
    <row r="294" spans="1:18" x14ac:dyDescent="0.3">
      <c r="A294" s="4">
        <v>293</v>
      </c>
      <c r="B294" s="5" t="s">
        <v>328</v>
      </c>
      <c r="C294" s="5">
        <v>47</v>
      </c>
      <c r="D294" s="12" t="str">
        <f t="shared" si="12"/>
        <v>Elder</v>
      </c>
      <c r="E294" s="5" t="s">
        <v>16</v>
      </c>
      <c r="F294" s="5" t="s">
        <v>43</v>
      </c>
      <c r="G294" s="5" t="s">
        <v>33</v>
      </c>
      <c r="H294" s="5" t="s">
        <v>26</v>
      </c>
      <c r="I294" s="5">
        <v>8</v>
      </c>
      <c r="J294" s="12" t="str">
        <f t="shared" si="13"/>
        <v>Mid-level</v>
      </c>
      <c r="K294" s="5">
        <v>1293</v>
      </c>
      <c r="L294" s="5">
        <v>5293</v>
      </c>
      <c r="M294" s="5">
        <v>111179</v>
      </c>
      <c r="N294" s="5" t="s">
        <v>30</v>
      </c>
      <c r="O294" s="5">
        <v>17</v>
      </c>
      <c r="P294" s="5">
        <v>3</v>
      </c>
      <c r="Q294" s="15" t="str">
        <f t="shared" si="14"/>
        <v>Good</v>
      </c>
      <c r="R294" s="6" t="s">
        <v>31</v>
      </c>
    </row>
    <row r="295" spans="1:18" x14ac:dyDescent="0.3">
      <c r="A295" s="4">
        <v>294</v>
      </c>
      <c r="B295" s="5" t="s">
        <v>329</v>
      </c>
      <c r="C295" s="5">
        <v>49</v>
      </c>
      <c r="D295" s="12" t="str">
        <f t="shared" si="12"/>
        <v>Elder</v>
      </c>
      <c r="E295" s="5" t="s">
        <v>16</v>
      </c>
      <c r="F295" s="5" t="s">
        <v>43</v>
      </c>
      <c r="G295" s="5" t="s">
        <v>25</v>
      </c>
      <c r="H295" s="5" t="s">
        <v>29</v>
      </c>
      <c r="I295" s="5">
        <v>2</v>
      </c>
      <c r="J295" s="12" t="str">
        <f t="shared" si="13"/>
        <v>Beginner</v>
      </c>
      <c r="K295" s="5">
        <v>1294</v>
      </c>
      <c r="L295" s="5">
        <v>5294</v>
      </c>
      <c r="M295" s="5">
        <v>43648</v>
      </c>
      <c r="N295" s="5" t="s">
        <v>38</v>
      </c>
      <c r="O295" s="5">
        <v>48</v>
      </c>
      <c r="P295" s="5">
        <v>3</v>
      </c>
      <c r="Q295" s="15" t="str">
        <f t="shared" si="14"/>
        <v>Good</v>
      </c>
      <c r="R295" s="6" t="s">
        <v>36</v>
      </c>
    </row>
    <row r="296" spans="1:18" x14ac:dyDescent="0.3">
      <c r="A296" s="4">
        <v>295</v>
      </c>
      <c r="B296" s="5" t="s">
        <v>330</v>
      </c>
      <c r="C296" s="5">
        <v>48</v>
      </c>
      <c r="D296" s="12" t="str">
        <f t="shared" si="12"/>
        <v>Elder</v>
      </c>
      <c r="E296" s="5" t="s">
        <v>16</v>
      </c>
      <c r="F296" s="5" t="s">
        <v>24</v>
      </c>
      <c r="G296" s="5" t="s">
        <v>18</v>
      </c>
      <c r="H296" s="5" t="s">
        <v>26</v>
      </c>
      <c r="I296" s="5">
        <v>8</v>
      </c>
      <c r="J296" s="12" t="str">
        <f t="shared" si="13"/>
        <v>Mid-level</v>
      </c>
      <c r="K296" s="5">
        <v>1295</v>
      </c>
      <c r="L296" s="5">
        <v>5295</v>
      </c>
      <c r="M296" s="5">
        <v>70729</v>
      </c>
      <c r="N296" s="5" t="s">
        <v>30</v>
      </c>
      <c r="O296" s="5">
        <v>28</v>
      </c>
      <c r="P296" s="5">
        <v>2</v>
      </c>
      <c r="Q296" s="15" t="str">
        <f t="shared" si="14"/>
        <v>Average</v>
      </c>
      <c r="R296" s="6" t="s">
        <v>40</v>
      </c>
    </row>
    <row r="297" spans="1:18" x14ac:dyDescent="0.3">
      <c r="A297" s="4">
        <v>296</v>
      </c>
      <c r="B297" s="5" t="s">
        <v>331</v>
      </c>
      <c r="C297" s="5">
        <v>25</v>
      </c>
      <c r="D297" s="12" t="str">
        <f t="shared" si="12"/>
        <v>Young</v>
      </c>
      <c r="E297" s="5" t="s">
        <v>16</v>
      </c>
      <c r="F297" s="5" t="s">
        <v>17</v>
      </c>
      <c r="G297" s="5" t="s">
        <v>25</v>
      </c>
      <c r="H297" s="5" t="s">
        <v>19</v>
      </c>
      <c r="I297" s="5">
        <v>13</v>
      </c>
      <c r="J297" s="12" t="str">
        <f t="shared" si="13"/>
        <v>Senior</v>
      </c>
      <c r="K297" s="5">
        <v>1296</v>
      </c>
      <c r="L297" s="5">
        <v>5296</v>
      </c>
      <c r="M297" s="5">
        <v>61971</v>
      </c>
      <c r="N297" s="5" t="s">
        <v>20</v>
      </c>
      <c r="O297" s="5">
        <v>41</v>
      </c>
      <c r="P297" s="5">
        <v>4</v>
      </c>
      <c r="Q297" s="15" t="str">
        <f t="shared" si="14"/>
        <v>Excellent</v>
      </c>
      <c r="R297" s="6" t="s">
        <v>31</v>
      </c>
    </row>
    <row r="298" spans="1:18" x14ac:dyDescent="0.3">
      <c r="A298" s="4">
        <v>297</v>
      </c>
      <c r="B298" s="5" t="s">
        <v>332</v>
      </c>
      <c r="C298" s="5">
        <v>54</v>
      </c>
      <c r="D298" s="12" t="str">
        <f t="shared" si="12"/>
        <v>Senior</v>
      </c>
      <c r="E298" s="5" t="s">
        <v>23</v>
      </c>
      <c r="F298" s="5" t="s">
        <v>24</v>
      </c>
      <c r="G298" s="5" t="s">
        <v>18</v>
      </c>
      <c r="H298" s="5" t="s">
        <v>26</v>
      </c>
      <c r="I298" s="5">
        <v>18</v>
      </c>
      <c r="J298" s="12" t="str">
        <f t="shared" si="13"/>
        <v>Expert</v>
      </c>
      <c r="K298" s="5">
        <v>1297</v>
      </c>
      <c r="L298" s="5">
        <v>5297</v>
      </c>
      <c r="M298" s="5">
        <v>38658</v>
      </c>
      <c r="N298" s="5" t="s">
        <v>20</v>
      </c>
      <c r="O298" s="5">
        <v>99</v>
      </c>
      <c r="P298" s="5">
        <v>3</v>
      </c>
      <c r="Q298" s="15" t="str">
        <f t="shared" si="14"/>
        <v>Good</v>
      </c>
      <c r="R298" s="6" t="s">
        <v>21</v>
      </c>
    </row>
    <row r="299" spans="1:18" x14ac:dyDescent="0.3">
      <c r="A299" s="4">
        <v>298</v>
      </c>
      <c r="B299" s="5" t="s">
        <v>333</v>
      </c>
      <c r="C299" s="5">
        <v>56</v>
      </c>
      <c r="D299" s="12" t="str">
        <f t="shared" si="12"/>
        <v>Senior</v>
      </c>
      <c r="E299" s="5" t="s">
        <v>23</v>
      </c>
      <c r="F299" s="5" t="s">
        <v>24</v>
      </c>
      <c r="G299" s="5" t="s">
        <v>18</v>
      </c>
      <c r="H299" s="5" t="s">
        <v>19</v>
      </c>
      <c r="I299" s="5">
        <v>6</v>
      </c>
      <c r="J299" s="12" t="str">
        <f t="shared" si="13"/>
        <v>Mid-level</v>
      </c>
      <c r="K299" s="5">
        <v>1298</v>
      </c>
      <c r="L299" s="5">
        <v>5298</v>
      </c>
      <c r="M299" s="5">
        <v>41253</v>
      </c>
      <c r="N299" s="5" t="s">
        <v>30</v>
      </c>
      <c r="O299" s="5">
        <v>47</v>
      </c>
      <c r="P299" s="5">
        <v>4</v>
      </c>
      <c r="Q299" s="15" t="str">
        <f t="shared" si="14"/>
        <v>Excellent</v>
      </c>
      <c r="R299" s="6" t="s">
        <v>21</v>
      </c>
    </row>
    <row r="300" spans="1:18" x14ac:dyDescent="0.3">
      <c r="A300" s="4">
        <v>299</v>
      </c>
      <c r="B300" s="5" t="s">
        <v>334</v>
      </c>
      <c r="C300" s="5">
        <v>43</v>
      </c>
      <c r="D300" s="12" t="str">
        <f t="shared" si="12"/>
        <v>Elder</v>
      </c>
      <c r="E300" s="5" t="s">
        <v>16</v>
      </c>
      <c r="F300" s="5" t="s">
        <v>17</v>
      </c>
      <c r="G300" s="5" t="s">
        <v>18</v>
      </c>
      <c r="H300" s="5" t="s">
        <v>29</v>
      </c>
      <c r="I300" s="5">
        <v>15</v>
      </c>
      <c r="J300" s="12" t="str">
        <f t="shared" si="13"/>
        <v>Senior</v>
      </c>
      <c r="K300" s="5">
        <v>1299</v>
      </c>
      <c r="L300" s="5">
        <v>5299</v>
      </c>
      <c r="M300" s="5">
        <v>84166</v>
      </c>
      <c r="N300" s="5" t="s">
        <v>38</v>
      </c>
      <c r="O300" s="5">
        <v>18</v>
      </c>
      <c r="P300" s="5">
        <v>4</v>
      </c>
      <c r="Q300" s="15" t="str">
        <f t="shared" si="14"/>
        <v>Excellent</v>
      </c>
      <c r="R300" s="6" t="s">
        <v>40</v>
      </c>
    </row>
    <row r="301" spans="1:18" x14ac:dyDescent="0.3">
      <c r="A301" s="4">
        <v>300</v>
      </c>
      <c r="B301" s="5" t="s">
        <v>335</v>
      </c>
      <c r="C301" s="5">
        <v>48</v>
      </c>
      <c r="D301" s="12" t="str">
        <f t="shared" si="12"/>
        <v>Elder</v>
      </c>
      <c r="E301" s="5" t="s">
        <v>16</v>
      </c>
      <c r="F301" s="5" t="s">
        <v>17</v>
      </c>
      <c r="G301" s="5" t="s">
        <v>46</v>
      </c>
      <c r="H301" s="5" t="s">
        <v>29</v>
      </c>
      <c r="I301" s="5">
        <v>15</v>
      </c>
      <c r="J301" s="12" t="str">
        <f t="shared" si="13"/>
        <v>Senior</v>
      </c>
      <c r="K301" s="5">
        <v>1300</v>
      </c>
      <c r="L301" s="5">
        <v>5300</v>
      </c>
      <c r="M301" s="5">
        <v>68563</v>
      </c>
      <c r="N301" s="5" t="s">
        <v>27</v>
      </c>
      <c r="O301" s="5">
        <v>78</v>
      </c>
      <c r="P301" s="5">
        <v>2</v>
      </c>
      <c r="Q301" s="15" t="str">
        <f t="shared" si="14"/>
        <v>Average</v>
      </c>
      <c r="R301" s="6" t="s">
        <v>21</v>
      </c>
    </row>
    <row r="302" spans="1:18" x14ac:dyDescent="0.3">
      <c r="A302" s="4">
        <v>301</v>
      </c>
      <c r="B302" s="5" t="s">
        <v>336</v>
      </c>
      <c r="C302" s="5">
        <v>50</v>
      </c>
      <c r="D302" s="12" t="str">
        <f t="shared" si="12"/>
        <v>Elder</v>
      </c>
      <c r="E302" s="5" t="s">
        <v>16</v>
      </c>
      <c r="F302" s="5" t="s">
        <v>45</v>
      </c>
      <c r="G302" s="5" t="s">
        <v>25</v>
      </c>
      <c r="H302" s="5" t="s">
        <v>19</v>
      </c>
      <c r="I302" s="5">
        <v>0</v>
      </c>
      <c r="J302" s="12" t="str">
        <f t="shared" si="13"/>
        <v>Beginner</v>
      </c>
      <c r="K302" s="5">
        <v>1301</v>
      </c>
      <c r="L302" s="5">
        <v>5301</v>
      </c>
      <c r="M302" s="5">
        <v>46390</v>
      </c>
      <c r="N302" s="5" t="s">
        <v>27</v>
      </c>
      <c r="O302" s="5">
        <v>99</v>
      </c>
      <c r="P302" s="5">
        <v>1</v>
      </c>
      <c r="Q302" s="15" t="str">
        <f t="shared" si="14"/>
        <v>Poor</v>
      </c>
      <c r="R302" s="6" t="s">
        <v>36</v>
      </c>
    </row>
    <row r="303" spans="1:18" x14ac:dyDescent="0.3">
      <c r="A303" s="4">
        <v>302</v>
      </c>
      <c r="B303" s="5" t="s">
        <v>337</v>
      </c>
      <c r="C303" s="5">
        <v>54</v>
      </c>
      <c r="D303" s="12" t="str">
        <f t="shared" si="12"/>
        <v>Senior</v>
      </c>
      <c r="E303" s="5" t="s">
        <v>23</v>
      </c>
      <c r="F303" s="5" t="s">
        <v>17</v>
      </c>
      <c r="G303" s="5" t="s">
        <v>33</v>
      </c>
      <c r="H303" s="5" t="s">
        <v>29</v>
      </c>
      <c r="I303" s="5">
        <v>3</v>
      </c>
      <c r="J303" s="12" t="str">
        <f t="shared" si="13"/>
        <v>Junior</v>
      </c>
      <c r="K303" s="5">
        <v>1302</v>
      </c>
      <c r="L303" s="5">
        <v>5302</v>
      </c>
      <c r="M303" s="5">
        <v>108664</v>
      </c>
      <c r="N303" s="5" t="s">
        <v>20</v>
      </c>
      <c r="O303" s="5">
        <v>71</v>
      </c>
      <c r="P303" s="5">
        <v>2</v>
      </c>
      <c r="Q303" s="15" t="str">
        <f t="shared" si="14"/>
        <v>Average</v>
      </c>
      <c r="R303" s="6" t="s">
        <v>21</v>
      </c>
    </row>
    <row r="304" spans="1:18" x14ac:dyDescent="0.3">
      <c r="A304" s="4">
        <v>303</v>
      </c>
      <c r="B304" s="5" t="s">
        <v>338</v>
      </c>
      <c r="C304" s="5">
        <v>52</v>
      </c>
      <c r="D304" s="12" t="str">
        <f t="shared" si="12"/>
        <v>Senior</v>
      </c>
      <c r="E304" s="5" t="s">
        <v>23</v>
      </c>
      <c r="F304" s="5" t="s">
        <v>43</v>
      </c>
      <c r="G304" s="5" t="s">
        <v>33</v>
      </c>
      <c r="H304" s="5" t="s">
        <v>29</v>
      </c>
      <c r="I304" s="5">
        <v>3</v>
      </c>
      <c r="J304" s="12" t="str">
        <f t="shared" si="13"/>
        <v>Junior</v>
      </c>
      <c r="K304" s="5">
        <v>1303</v>
      </c>
      <c r="L304" s="5">
        <v>5303</v>
      </c>
      <c r="M304" s="5">
        <v>71578</v>
      </c>
      <c r="N304" s="5" t="s">
        <v>27</v>
      </c>
      <c r="O304" s="5">
        <v>13</v>
      </c>
      <c r="P304" s="5">
        <v>1</v>
      </c>
      <c r="Q304" s="15" t="str">
        <f t="shared" si="14"/>
        <v>Poor</v>
      </c>
      <c r="R304" s="6" t="s">
        <v>21</v>
      </c>
    </row>
    <row r="305" spans="1:18" x14ac:dyDescent="0.3">
      <c r="A305" s="4">
        <v>304</v>
      </c>
      <c r="B305" s="5" t="s">
        <v>339</v>
      </c>
      <c r="C305" s="5">
        <v>40</v>
      </c>
      <c r="D305" s="12" t="str">
        <f t="shared" si="12"/>
        <v>Mid Age</v>
      </c>
      <c r="E305" s="5" t="s">
        <v>23</v>
      </c>
      <c r="F305" s="5" t="s">
        <v>24</v>
      </c>
      <c r="G305" s="5" t="s">
        <v>25</v>
      </c>
      <c r="H305" s="5" t="s">
        <v>29</v>
      </c>
      <c r="I305" s="5">
        <v>6</v>
      </c>
      <c r="J305" s="12" t="str">
        <f t="shared" si="13"/>
        <v>Mid-level</v>
      </c>
      <c r="K305" s="5">
        <v>1304</v>
      </c>
      <c r="L305" s="5">
        <v>5304</v>
      </c>
      <c r="M305" s="5">
        <v>99025</v>
      </c>
      <c r="N305" s="5" t="s">
        <v>20</v>
      </c>
      <c r="O305" s="5">
        <v>82</v>
      </c>
      <c r="P305" s="5">
        <v>4</v>
      </c>
      <c r="Q305" s="15" t="str">
        <f t="shared" si="14"/>
        <v>Excellent</v>
      </c>
      <c r="R305" s="6" t="s">
        <v>36</v>
      </c>
    </row>
    <row r="306" spans="1:18" x14ac:dyDescent="0.3">
      <c r="A306" s="4">
        <v>305</v>
      </c>
      <c r="B306" s="5" t="s">
        <v>340</v>
      </c>
      <c r="C306" s="5">
        <v>51</v>
      </c>
      <c r="D306" s="12" t="str">
        <f t="shared" si="12"/>
        <v>Senior</v>
      </c>
      <c r="E306" s="5" t="s">
        <v>23</v>
      </c>
      <c r="F306" s="5" t="s">
        <v>24</v>
      </c>
      <c r="G306" s="5" t="s">
        <v>46</v>
      </c>
      <c r="H306" s="5" t="s">
        <v>29</v>
      </c>
      <c r="I306" s="5">
        <v>7</v>
      </c>
      <c r="J306" s="12" t="str">
        <f t="shared" si="13"/>
        <v>Mid-level</v>
      </c>
      <c r="K306" s="5">
        <v>1305</v>
      </c>
      <c r="L306" s="5">
        <v>5305</v>
      </c>
      <c r="M306" s="5">
        <v>52658</v>
      </c>
      <c r="N306" s="5" t="s">
        <v>27</v>
      </c>
      <c r="O306" s="5">
        <v>13</v>
      </c>
      <c r="P306" s="5">
        <v>1</v>
      </c>
      <c r="Q306" s="15" t="str">
        <f t="shared" si="14"/>
        <v>Poor</v>
      </c>
      <c r="R306" s="6" t="s">
        <v>40</v>
      </c>
    </row>
    <row r="307" spans="1:18" x14ac:dyDescent="0.3">
      <c r="A307" s="4">
        <v>306</v>
      </c>
      <c r="B307" s="5" t="s">
        <v>341</v>
      </c>
      <c r="C307" s="5">
        <v>42</v>
      </c>
      <c r="D307" s="12" t="str">
        <f t="shared" si="12"/>
        <v>Elder</v>
      </c>
      <c r="E307" s="5" t="s">
        <v>23</v>
      </c>
      <c r="F307" s="5" t="s">
        <v>43</v>
      </c>
      <c r="G307" s="5" t="s">
        <v>46</v>
      </c>
      <c r="H307" s="5" t="s">
        <v>19</v>
      </c>
      <c r="I307" s="5">
        <v>16</v>
      </c>
      <c r="J307" s="12" t="str">
        <f t="shared" si="13"/>
        <v>Expert</v>
      </c>
      <c r="K307" s="5">
        <v>1306</v>
      </c>
      <c r="L307" s="5">
        <v>5306</v>
      </c>
      <c r="M307" s="5">
        <v>26852</v>
      </c>
      <c r="N307" s="5" t="s">
        <v>30</v>
      </c>
      <c r="O307" s="5">
        <v>31</v>
      </c>
      <c r="P307" s="5">
        <v>4</v>
      </c>
      <c r="Q307" s="15" t="str">
        <f t="shared" si="14"/>
        <v>Excellent</v>
      </c>
      <c r="R307" s="6" t="s">
        <v>40</v>
      </c>
    </row>
    <row r="308" spans="1:18" x14ac:dyDescent="0.3">
      <c r="A308" s="4">
        <v>307</v>
      </c>
      <c r="B308" s="5" t="s">
        <v>342</v>
      </c>
      <c r="C308" s="5">
        <v>52</v>
      </c>
      <c r="D308" s="12" t="str">
        <f t="shared" si="12"/>
        <v>Senior</v>
      </c>
      <c r="E308" s="5" t="s">
        <v>23</v>
      </c>
      <c r="F308" s="5" t="s">
        <v>17</v>
      </c>
      <c r="G308" s="5" t="s">
        <v>18</v>
      </c>
      <c r="H308" s="5" t="s">
        <v>26</v>
      </c>
      <c r="I308" s="5">
        <v>4</v>
      </c>
      <c r="J308" s="12" t="str">
        <f t="shared" si="13"/>
        <v>Junior</v>
      </c>
      <c r="K308" s="5">
        <v>1307</v>
      </c>
      <c r="L308" s="5">
        <v>5307</v>
      </c>
      <c r="M308" s="5">
        <v>114986</v>
      </c>
      <c r="N308" s="5" t="s">
        <v>20</v>
      </c>
      <c r="O308" s="5">
        <v>2</v>
      </c>
      <c r="P308" s="5">
        <v>3</v>
      </c>
      <c r="Q308" s="15" t="str">
        <f t="shared" si="14"/>
        <v>Good</v>
      </c>
      <c r="R308" s="6" t="s">
        <v>36</v>
      </c>
    </row>
    <row r="309" spans="1:18" x14ac:dyDescent="0.3">
      <c r="A309" s="4">
        <v>308</v>
      </c>
      <c r="B309" s="5" t="s">
        <v>343</v>
      </c>
      <c r="C309" s="5">
        <v>22</v>
      </c>
      <c r="D309" s="12" t="str">
        <f t="shared" si="12"/>
        <v>Young</v>
      </c>
      <c r="E309" s="5" t="s">
        <v>23</v>
      </c>
      <c r="F309" s="5" t="s">
        <v>43</v>
      </c>
      <c r="G309" s="5" t="s">
        <v>25</v>
      </c>
      <c r="H309" s="5" t="s">
        <v>26</v>
      </c>
      <c r="I309" s="5">
        <v>6</v>
      </c>
      <c r="J309" s="12" t="str">
        <f t="shared" si="13"/>
        <v>Mid-level</v>
      </c>
      <c r="K309" s="5">
        <v>1308</v>
      </c>
      <c r="L309" s="5">
        <v>5308</v>
      </c>
      <c r="M309" s="5">
        <v>22551</v>
      </c>
      <c r="N309" s="5" t="s">
        <v>20</v>
      </c>
      <c r="O309" s="5">
        <v>16</v>
      </c>
      <c r="P309" s="5">
        <v>3</v>
      </c>
      <c r="Q309" s="15" t="str">
        <f t="shared" si="14"/>
        <v>Good</v>
      </c>
      <c r="R309" s="6" t="s">
        <v>36</v>
      </c>
    </row>
    <row r="310" spans="1:18" x14ac:dyDescent="0.3">
      <c r="A310" s="4">
        <v>309</v>
      </c>
      <c r="B310" s="5" t="s">
        <v>344</v>
      </c>
      <c r="C310" s="5">
        <v>37</v>
      </c>
      <c r="D310" s="12" t="str">
        <f t="shared" si="12"/>
        <v>Mid Age</v>
      </c>
      <c r="E310" s="5" t="s">
        <v>23</v>
      </c>
      <c r="F310" s="5" t="s">
        <v>43</v>
      </c>
      <c r="G310" s="5" t="s">
        <v>25</v>
      </c>
      <c r="H310" s="5" t="s">
        <v>29</v>
      </c>
      <c r="I310" s="5">
        <v>19</v>
      </c>
      <c r="J310" s="12" t="str">
        <f t="shared" si="13"/>
        <v>Expert</v>
      </c>
      <c r="K310" s="5">
        <v>1309</v>
      </c>
      <c r="L310" s="5">
        <v>5309</v>
      </c>
      <c r="M310" s="5">
        <v>91947</v>
      </c>
      <c r="N310" s="5" t="s">
        <v>30</v>
      </c>
      <c r="O310" s="5">
        <v>9</v>
      </c>
      <c r="P310" s="5">
        <v>3</v>
      </c>
      <c r="Q310" s="15" t="str">
        <f t="shared" si="14"/>
        <v>Good</v>
      </c>
      <c r="R310" s="6" t="s">
        <v>36</v>
      </c>
    </row>
    <row r="311" spans="1:18" x14ac:dyDescent="0.3">
      <c r="A311" s="4">
        <v>310</v>
      </c>
      <c r="B311" s="5" t="s">
        <v>345</v>
      </c>
      <c r="C311" s="5">
        <v>44</v>
      </c>
      <c r="D311" s="12" t="str">
        <f t="shared" si="12"/>
        <v>Elder</v>
      </c>
      <c r="E311" s="5" t="s">
        <v>23</v>
      </c>
      <c r="F311" s="5" t="s">
        <v>45</v>
      </c>
      <c r="G311" s="5" t="s">
        <v>33</v>
      </c>
      <c r="H311" s="5" t="s">
        <v>26</v>
      </c>
      <c r="I311" s="5">
        <v>19</v>
      </c>
      <c r="J311" s="12" t="str">
        <f t="shared" si="13"/>
        <v>Expert</v>
      </c>
      <c r="K311" s="5">
        <v>1310</v>
      </c>
      <c r="L311" s="5">
        <v>5310</v>
      </c>
      <c r="M311" s="5">
        <v>81001</v>
      </c>
      <c r="N311" s="5" t="s">
        <v>20</v>
      </c>
      <c r="O311" s="5">
        <v>73</v>
      </c>
      <c r="P311" s="5">
        <v>2</v>
      </c>
      <c r="Q311" s="15" t="str">
        <f t="shared" si="14"/>
        <v>Average</v>
      </c>
      <c r="R311" s="6" t="s">
        <v>21</v>
      </c>
    </row>
    <row r="312" spans="1:18" x14ac:dyDescent="0.3">
      <c r="A312" s="4">
        <v>311</v>
      </c>
      <c r="B312" s="5" t="s">
        <v>346</v>
      </c>
      <c r="C312" s="5">
        <v>50</v>
      </c>
      <c r="D312" s="12" t="str">
        <f t="shared" si="12"/>
        <v>Elder</v>
      </c>
      <c r="E312" s="5" t="s">
        <v>16</v>
      </c>
      <c r="F312" s="5" t="s">
        <v>43</v>
      </c>
      <c r="G312" s="5" t="s">
        <v>25</v>
      </c>
      <c r="H312" s="5" t="s">
        <v>26</v>
      </c>
      <c r="I312" s="5">
        <v>3</v>
      </c>
      <c r="J312" s="12" t="str">
        <f t="shared" si="13"/>
        <v>Junior</v>
      </c>
      <c r="K312" s="5">
        <v>1311</v>
      </c>
      <c r="L312" s="5">
        <v>5311</v>
      </c>
      <c r="M312" s="5">
        <v>69159</v>
      </c>
      <c r="N312" s="5" t="s">
        <v>27</v>
      </c>
      <c r="O312" s="5">
        <v>38</v>
      </c>
      <c r="P312" s="5">
        <v>2</v>
      </c>
      <c r="Q312" s="15" t="str">
        <f t="shared" si="14"/>
        <v>Average</v>
      </c>
      <c r="R312" s="6" t="s">
        <v>36</v>
      </c>
    </row>
    <row r="313" spans="1:18" x14ac:dyDescent="0.3">
      <c r="A313" s="4">
        <v>312</v>
      </c>
      <c r="B313" s="5" t="s">
        <v>347</v>
      </c>
      <c r="C313" s="5">
        <v>22</v>
      </c>
      <c r="D313" s="12" t="str">
        <f t="shared" si="12"/>
        <v>Young</v>
      </c>
      <c r="E313" s="5" t="s">
        <v>16</v>
      </c>
      <c r="F313" s="5" t="s">
        <v>24</v>
      </c>
      <c r="G313" s="5" t="s">
        <v>46</v>
      </c>
      <c r="H313" s="5" t="s">
        <v>29</v>
      </c>
      <c r="I313" s="5">
        <v>5</v>
      </c>
      <c r="J313" s="12" t="str">
        <f t="shared" si="13"/>
        <v>Junior</v>
      </c>
      <c r="K313" s="5">
        <v>1312</v>
      </c>
      <c r="L313" s="5">
        <v>5312</v>
      </c>
      <c r="M313" s="5">
        <v>71707</v>
      </c>
      <c r="N313" s="5" t="s">
        <v>27</v>
      </c>
      <c r="O313" s="5">
        <v>75</v>
      </c>
      <c r="P313" s="5">
        <v>4</v>
      </c>
      <c r="Q313" s="15" t="str">
        <f t="shared" si="14"/>
        <v>Excellent</v>
      </c>
      <c r="R313" s="6" t="s">
        <v>31</v>
      </c>
    </row>
    <row r="314" spans="1:18" x14ac:dyDescent="0.3">
      <c r="A314" s="4">
        <v>313</v>
      </c>
      <c r="B314" s="5" t="s">
        <v>348</v>
      </c>
      <c r="C314" s="5">
        <v>59</v>
      </c>
      <c r="D314" s="12" t="str">
        <f t="shared" si="12"/>
        <v>Senior</v>
      </c>
      <c r="E314" s="5" t="s">
        <v>16</v>
      </c>
      <c r="F314" s="5" t="s">
        <v>43</v>
      </c>
      <c r="G314" s="5" t="s">
        <v>25</v>
      </c>
      <c r="H314" s="5" t="s">
        <v>29</v>
      </c>
      <c r="I314" s="5">
        <v>6</v>
      </c>
      <c r="J314" s="12" t="str">
        <f t="shared" si="13"/>
        <v>Mid-level</v>
      </c>
      <c r="K314" s="5">
        <v>1313</v>
      </c>
      <c r="L314" s="5">
        <v>5313</v>
      </c>
      <c r="M314" s="5">
        <v>53243</v>
      </c>
      <c r="N314" s="5" t="s">
        <v>20</v>
      </c>
      <c r="O314" s="5">
        <v>54</v>
      </c>
      <c r="P314" s="5">
        <v>3</v>
      </c>
      <c r="Q314" s="15" t="str">
        <f t="shared" si="14"/>
        <v>Good</v>
      </c>
      <c r="R314" s="6" t="s">
        <v>21</v>
      </c>
    </row>
    <row r="315" spans="1:18" x14ac:dyDescent="0.3">
      <c r="A315" s="4">
        <v>314</v>
      </c>
      <c r="B315" s="5" t="s">
        <v>349</v>
      </c>
      <c r="C315" s="5">
        <v>43</v>
      </c>
      <c r="D315" s="12" t="str">
        <f t="shared" si="12"/>
        <v>Elder</v>
      </c>
      <c r="E315" s="5" t="s">
        <v>16</v>
      </c>
      <c r="F315" s="5" t="s">
        <v>24</v>
      </c>
      <c r="G315" s="5" t="s">
        <v>33</v>
      </c>
      <c r="H315" s="5" t="s">
        <v>26</v>
      </c>
      <c r="I315" s="5">
        <v>17</v>
      </c>
      <c r="J315" s="12" t="str">
        <f t="shared" si="13"/>
        <v>Expert</v>
      </c>
      <c r="K315" s="5">
        <v>1314</v>
      </c>
      <c r="L315" s="5">
        <v>5314</v>
      </c>
      <c r="M315" s="5">
        <v>41800</v>
      </c>
      <c r="N315" s="5" t="s">
        <v>27</v>
      </c>
      <c r="O315" s="5">
        <v>56</v>
      </c>
      <c r="P315" s="5">
        <v>2</v>
      </c>
      <c r="Q315" s="15" t="str">
        <f t="shared" si="14"/>
        <v>Average</v>
      </c>
      <c r="R315" s="6" t="s">
        <v>40</v>
      </c>
    </row>
    <row r="316" spans="1:18" x14ac:dyDescent="0.3">
      <c r="A316" s="4">
        <v>315</v>
      </c>
      <c r="B316" s="5" t="s">
        <v>350</v>
      </c>
      <c r="C316" s="5">
        <v>51</v>
      </c>
      <c r="D316" s="12" t="str">
        <f t="shared" si="12"/>
        <v>Senior</v>
      </c>
      <c r="E316" s="5" t="s">
        <v>23</v>
      </c>
      <c r="F316" s="5" t="s">
        <v>24</v>
      </c>
      <c r="G316" s="5" t="s">
        <v>18</v>
      </c>
      <c r="H316" s="5" t="s">
        <v>19</v>
      </c>
      <c r="I316" s="5">
        <v>4</v>
      </c>
      <c r="J316" s="12" t="str">
        <f t="shared" si="13"/>
        <v>Junior</v>
      </c>
      <c r="K316" s="5">
        <v>1315</v>
      </c>
      <c r="L316" s="5">
        <v>5315</v>
      </c>
      <c r="M316" s="5">
        <v>95939</v>
      </c>
      <c r="N316" s="5" t="s">
        <v>38</v>
      </c>
      <c r="O316" s="5">
        <v>86</v>
      </c>
      <c r="P316" s="5">
        <v>3</v>
      </c>
      <c r="Q316" s="15" t="str">
        <f t="shared" si="14"/>
        <v>Good</v>
      </c>
      <c r="R316" s="6" t="s">
        <v>40</v>
      </c>
    </row>
    <row r="317" spans="1:18" x14ac:dyDescent="0.3">
      <c r="A317" s="4">
        <v>316</v>
      </c>
      <c r="B317" s="5" t="s">
        <v>351</v>
      </c>
      <c r="C317" s="5">
        <v>41</v>
      </c>
      <c r="D317" s="12" t="str">
        <f t="shared" si="12"/>
        <v>Elder</v>
      </c>
      <c r="E317" s="5" t="s">
        <v>23</v>
      </c>
      <c r="F317" s="5" t="s">
        <v>24</v>
      </c>
      <c r="G317" s="5" t="s">
        <v>33</v>
      </c>
      <c r="H317" s="5" t="s">
        <v>29</v>
      </c>
      <c r="I317" s="5">
        <v>19</v>
      </c>
      <c r="J317" s="12" t="str">
        <f t="shared" si="13"/>
        <v>Expert</v>
      </c>
      <c r="K317" s="5">
        <v>1316</v>
      </c>
      <c r="L317" s="5">
        <v>5316</v>
      </c>
      <c r="M317" s="5">
        <v>77828</v>
      </c>
      <c r="N317" s="5" t="s">
        <v>20</v>
      </c>
      <c r="O317" s="5">
        <v>97</v>
      </c>
      <c r="P317" s="5">
        <v>2</v>
      </c>
      <c r="Q317" s="15" t="str">
        <f t="shared" si="14"/>
        <v>Average</v>
      </c>
      <c r="R317" s="6" t="s">
        <v>40</v>
      </c>
    </row>
    <row r="318" spans="1:18" x14ac:dyDescent="0.3">
      <c r="A318" s="4">
        <v>317</v>
      </c>
      <c r="B318" s="5" t="s">
        <v>352</v>
      </c>
      <c r="C318" s="5">
        <v>42</v>
      </c>
      <c r="D318" s="12" t="str">
        <f t="shared" si="12"/>
        <v>Elder</v>
      </c>
      <c r="E318" s="5" t="s">
        <v>16</v>
      </c>
      <c r="F318" s="5" t="s">
        <v>17</v>
      </c>
      <c r="G318" s="5" t="s">
        <v>33</v>
      </c>
      <c r="H318" s="5" t="s">
        <v>19</v>
      </c>
      <c r="I318" s="5">
        <v>2</v>
      </c>
      <c r="J318" s="12" t="str">
        <f t="shared" si="13"/>
        <v>Beginner</v>
      </c>
      <c r="K318" s="5">
        <v>1317</v>
      </c>
      <c r="L318" s="5">
        <v>5317</v>
      </c>
      <c r="M318" s="5">
        <v>27239</v>
      </c>
      <c r="N318" s="5" t="s">
        <v>30</v>
      </c>
      <c r="O318" s="5">
        <v>87</v>
      </c>
      <c r="P318" s="5">
        <v>1</v>
      </c>
      <c r="Q318" s="15" t="str">
        <f t="shared" si="14"/>
        <v>Poor</v>
      </c>
      <c r="R318" s="6" t="s">
        <v>21</v>
      </c>
    </row>
    <row r="319" spans="1:18" x14ac:dyDescent="0.3">
      <c r="A319" s="4">
        <v>318</v>
      </c>
      <c r="B319" s="5" t="s">
        <v>353</v>
      </c>
      <c r="C319" s="5">
        <v>21</v>
      </c>
      <c r="D319" s="12" t="str">
        <f t="shared" si="12"/>
        <v>Young</v>
      </c>
      <c r="E319" s="5" t="s">
        <v>23</v>
      </c>
      <c r="F319" s="5" t="s">
        <v>45</v>
      </c>
      <c r="G319" s="5" t="s">
        <v>18</v>
      </c>
      <c r="H319" s="5" t="s">
        <v>26</v>
      </c>
      <c r="I319" s="5">
        <v>6</v>
      </c>
      <c r="J319" s="12" t="str">
        <f t="shared" si="13"/>
        <v>Mid-level</v>
      </c>
      <c r="K319" s="5">
        <v>1318</v>
      </c>
      <c r="L319" s="5">
        <v>5318</v>
      </c>
      <c r="M319" s="5">
        <v>26710</v>
      </c>
      <c r="N319" s="5" t="s">
        <v>38</v>
      </c>
      <c r="O319" s="5">
        <v>45</v>
      </c>
      <c r="P319" s="5">
        <v>1</v>
      </c>
      <c r="Q319" s="15" t="str">
        <f t="shared" si="14"/>
        <v>Poor</v>
      </c>
      <c r="R319" s="6" t="s">
        <v>31</v>
      </c>
    </row>
    <row r="320" spans="1:18" x14ac:dyDescent="0.3">
      <c r="A320" s="4">
        <v>319</v>
      </c>
      <c r="B320" s="5" t="s">
        <v>354</v>
      </c>
      <c r="C320" s="5">
        <v>46</v>
      </c>
      <c r="D320" s="12" t="str">
        <f t="shared" si="12"/>
        <v>Elder</v>
      </c>
      <c r="E320" s="5" t="s">
        <v>16</v>
      </c>
      <c r="F320" s="5" t="s">
        <v>24</v>
      </c>
      <c r="G320" s="5" t="s">
        <v>33</v>
      </c>
      <c r="H320" s="5" t="s">
        <v>29</v>
      </c>
      <c r="I320" s="5">
        <v>13</v>
      </c>
      <c r="J320" s="12" t="str">
        <f t="shared" si="13"/>
        <v>Senior</v>
      </c>
      <c r="K320" s="5">
        <v>1319</v>
      </c>
      <c r="L320" s="5">
        <v>5319</v>
      </c>
      <c r="M320" s="5">
        <v>41384</v>
      </c>
      <c r="N320" s="5" t="s">
        <v>20</v>
      </c>
      <c r="O320" s="5">
        <v>34</v>
      </c>
      <c r="P320" s="5">
        <v>3</v>
      </c>
      <c r="Q320" s="15" t="str">
        <f t="shared" si="14"/>
        <v>Good</v>
      </c>
      <c r="R320" s="6" t="s">
        <v>36</v>
      </c>
    </row>
    <row r="321" spans="1:18" x14ac:dyDescent="0.3">
      <c r="A321" s="4">
        <v>320</v>
      </c>
      <c r="B321" s="5" t="s">
        <v>355</v>
      </c>
      <c r="C321" s="5">
        <v>21</v>
      </c>
      <c r="D321" s="12" t="str">
        <f t="shared" si="12"/>
        <v>Young</v>
      </c>
      <c r="E321" s="5" t="s">
        <v>23</v>
      </c>
      <c r="F321" s="5" t="s">
        <v>24</v>
      </c>
      <c r="G321" s="5" t="s">
        <v>33</v>
      </c>
      <c r="H321" s="5" t="s">
        <v>19</v>
      </c>
      <c r="I321" s="5">
        <v>6</v>
      </c>
      <c r="J321" s="12" t="str">
        <f t="shared" si="13"/>
        <v>Mid-level</v>
      </c>
      <c r="K321" s="5">
        <v>1320</v>
      </c>
      <c r="L321" s="5">
        <v>5320</v>
      </c>
      <c r="M321" s="5">
        <v>41038</v>
      </c>
      <c r="N321" s="5" t="s">
        <v>30</v>
      </c>
      <c r="O321" s="5">
        <v>9</v>
      </c>
      <c r="P321" s="5">
        <v>4</v>
      </c>
      <c r="Q321" s="15" t="str">
        <f t="shared" si="14"/>
        <v>Excellent</v>
      </c>
      <c r="R321" s="6" t="s">
        <v>36</v>
      </c>
    </row>
    <row r="322" spans="1:18" x14ac:dyDescent="0.3">
      <c r="A322" s="4">
        <v>321</v>
      </c>
      <c r="B322" s="5" t="s">
        <v>356</v>
      </c>
      <c r="C322" s="5">
        <v>45</v>
      </c>
      <c r="D322" s="12" t="str">
        <f t="shared" ref="D322:D385" si="15">IF(AND(C322&gt;=20,C322&lt;=30),"Young",IF(AND(C322&gt;30,C322&lt;=40),"Mid Age",IF(AND(C322&gt;40,C322&lt;=50),"Elder",IF(AND(C322&gt;50,C322&lt;=59),"Senior","Other"))))</f>
        <v>Elder</v>
      </c>
      <c r="E322" s="5" t="s">
        <v>16</v>
      </c>
      <c r="F322" s="5" t="s">
        <v>17</v>
      </c>
      <c r="G322" s="5" t="s">
        <v>25</v>
      </c>
      <c r="H322" s="5" t="s">
        <v>29</v>
      </c>
      <c r="I322" s="5">
        <v>4</v>
      </c>
      <c r="J322" s="12" t="str">
        <f t="shared" ref="J322:J385" si="16">IF(I322&lt;=2,"Beginner",IF(I322&lt;=5,"Junior",IF(I322&lt;=10,"Mid-level",IF(I322&lt;=15,"Senior","Expert"))))</f>
        <v>Junior</v>
      </c>
      <c r="K322" s="5">
        <v>1321</v>
      </c>
      <c r="L322" s="5">
        <v>5321</v>
      </c>
      <c r="M322" s="5">
        <v>60846</v>
      </c>
      <c r="N322" s="5" t="s">
        <v>27</v>
      </c>
      <c r="O322" s="5">
        <v>88</v>
      </c>
      <c r="P322" s="5">
        <v>2</v>
      </c>
      <c r="Q322" s="15" t="str">
        <f t="shared" ref="Q322:Q385" si="17">IF(P322=1,"Poor",IF(P322=2,"Average",IF(P322=3,"Good",IF(P322=4,"Excellent","Unknown"))))</f>
        <v>Average</v>
      </c>
      <c r="R322" s="6" t="s">
        <v>40</v>
      </c>
    </row>
    <row r="323" spans="1:18" x14ac:dyDescent="0.3">
      <c r="A323" s="4">
        <v>322</v>
      </c>
      <c r="B323" s="5" t="s">
        <v>357</v>
      </c>
      <c r="C323" s="5">
        <v>36</v>
      </c>
      <c r="D323" s="12" t="str">
        <f t="shared" si="15"/>
        <v>Mid Age</v>
      </c>
      <c r="E323" s="5" t="s">
        <v>23</v>
      </c>
      <c r="F323" s="5" t="s">
        <v>24</v>
      </c>
      <c r="G323" s="5" t="s">
        <v>25</v>
      </c>
      <c r="H323" s="5" t="s">
        <v>26</v>
      </c>
      <c r="I323" s="5">
        <v>4</v>
      </c>
      <c r="J323" s="12" t="str">
        <f t="shared" si="16"/>
        <v>Junior</v>
      </c>
      <c r="K323" s="5">
        <v>1322</v>
      </c>
      <c r="L323" s="5">
        <v>5322</v>
      </c>
      <c r="M323" s="5">
        <v>107983</v>
      </c>
      <c r="N323" s="5" t="s">
        <v>30</v>
      </c>
      <c r="O323" s="5">
        <v>8</v>
      </c>
      <c r="P323" s="5">
        <v>2</v>
      </c>
      <c r="Q323" s="15" t="str">
        <f t="shared" si="17"/>
        <v>Average</v>
      </c>
      <c r="R323" s="6" t="s">
        <v>40</v>
      </c>
    </row>
    <row r="324" spans="1:18" x14ac:dyDescent="0.3">
      <c r="A324" s="4">
        <v>323</v>
      </c>
      <c r="B324" s="5" t="s">
        <v>358</v>
      </c>
      <c r="C324" s="5">
        <v>59</v>
      </c>
      <c r="D324" s="12" t="str">
        <f t="shared" si="15"/>
        <v>Senior</v>
      </c>
      <c r="E324" s="5" t="s">
        <v>23</v>
      </c>
      <c r="F324" s="5" t="s">
        <v>43</v>
      </c>
      <c r="G324" s="5" t="s">
        <v>18</v>
      </c>
      <c r="H324" s="5" t="s">
        <v>19</v>
      </c>
      <c r="I324" s="5">
        <v>1</v>
      </c>
      <c r="J324" s="12" t="str">
        <f t="shared" si="16"/>
        <v>Beginner</v>
      </c>
      <c r="K324" s="5">
        <v>1323</v>
      </c>
      <c r="L324" s="5">
        <v>5323</v>
      </c>
      <c r="M324" s="5">
        <v>87821</v>
      </c>
      <c r="N324" s="5" t="s">
        <v>38</v>
      </c>
      <c r="O324" s="5">
        <v>7</v>
      </c>
      <c r="P324" s="5">
        <v>1</v>
      </c>
      <c r="Q324" s="15" t="str">
        <f t="shared" si="17"/>
        <v>Poor</v>
      </c>
      <c r="R324" s="6" t="s">
        <v>21</v>
      </c>
    </row>
    <row r="325" spans="1:18" x14ac:dyDescent="0.3">
      <c r="A325" s="4">
        <v>324</v>
      </c>
      <c r="B325" s="5" t="s">
        <v>359</v>
      </c>
      <c r="C325" s="5">
        <v>52</v>
      </c>
      <c r="D325" s="12" t="str">
        <f t="shared" si="15"/>
        <v>Senior</v>
      </c>
      <c r="E325" s="5" t="s">
        <v>16</v>
      </c>
      <c r="F325" s="5" t="s">
        <v>43</v>
      </c>
      <c r="G325" s="5" t="s">
        <v>25</v>
      </c>
      <c r="H325" s="5" t="s">
        <v>26</v>
      </c>
      <c r="I325" s="5">
        <v>5</v>
      </c>
      <c r="J325" s="12" t="str">
        <f t="shared" si="16"/>
        <v>Junior</v>
      </c>
      <c r="K325" s="5">
        <v>1324</v>
      </c>
      <c r="L325" s="5">
        <v>5324</v>
      </c>
      <c r="M325" s="5">
        <v>57991</v>
      </c>
      <c r="N325" s="5" t="s">
        <v>27</v>
      </c>
      <c r="O325" s="5">
        <v>36</v>
      </c>
      <c r="P325" s="5">
        <v>1</v>
      </c>
      <c r="Q325" s="15" t="str">
        <f t="shared" si="17"/>
        <v>Poor</v>
      </c>
      <c r="R325" s="6" t="s">
        <v>31</v>
      </c>
    </row>
    <row r="326" spans="1:18" x14ac:dyDescent="0.3">
      <c r="A326" s="4">
        <v>325</v>
      </c>
      <c r="B326" s="5" t="s">
        <v>360</v>
      </c>
      <c r="C326" s="5">
        <v>28</v>
      </c>
      <c r="D326" s="12" t="str">
        <f t="shared" si="15"/>
        <v>Young</v>
      </c>
      <c r="E326" s="5" t="s">
        <v>23</v>
      </c>
      <c r="F326" s="5" t="s">
        <v>45</v>
      </c>
      <c r="G326" s="5" t="s">
        <v>25</v>
      </c>
      <c r="H326" s="5" t="s">
        <v>26</v>
      </c>
      <c r="I326" s="5">
        <v>14</v>
      </c>
      <c r="J326" s="12" t="str">
        <f t="shared" si="16"/>
        <v>Senior</v>
      </c>
      <c r="K326" s="5">
        <v>1325</v>
      </c>
      <c r="L326" s="5">
        <v>5325</v>
      </c>
      <c r="M326" s="5">
        <v>99057</v>
      </c>
      <c r="N326" s="5" t="s">
        <v>20</v>
      </c>
      <c r="O326" s="5">
        <v>18</v>
      </c>
      <c r="P326" s="5">
        <v>4</v>
      </c>
      <c r="Q326" s="15" t="str">
        <f t="shared" si="17"/>
        <v>Excellent</v>
      </c>
      <c r="R326" s="6" t="s">
        <v>36</v>
      </c>
    </row>
    <row r="327" spans="1:18" x14ac:dyDescent="0.3">
      <c r="A327" s="4">
        <v>326</v>
      </c>
      <c r="B327" s="5" t="s">
        <v>361</v>
      </c>
      <c r="C327" s="5">
        <v>58</v>
      </c>
      <c r="D327" s="12" t="str">
        <f t="shared" si="15"/>
        <v>Senior</v>
      </c>
      <c r="E327" s="5" t="s">
        <v>16</v>
      </c>
      <c r="F327" s="5" t="s">
        <v>24</v>
      </c>
      <c r="G327" s="5" t="s">
        <v>33</v>
      </c>
      <c r="H327" s="5" t="s">
        <v>29</v>
      </c>
      <c r="I327" s="5">
        <v>9</v>
      </c>
      <c r="J327" s="12" t="str">
        <f t="shared" si="16"/>
        <v>Mid-level</v>
      </c>
      <c r="K327" s="5">
        <v>1326</v>
      </c>
      <c r="L327" s="5">
        <v>5326</v>
      </c>
      <c r="M327" s="5">
        <v>26971</v>
      </c>
      <c r="N327" s="5" t="s">
        <v>27</v>
      </c>
      <c r="O327" s="5">
        <v>3</v>
      </c>
      <c r="P327" s="5">
        <v>4</v>
      </c>
      <c r="Q327" s="15" t="str">
        <f t="shared" si="17"/>
        <v>Excellent</v>
      </c>
      <c r="R327" s="6" t="s">
        <v>21</v>
      </c>
    </row>
    <row r="328" spans="1:18" x14ac:dyDescent="0.3">
      <c r="A328" s="4">
        <v>327</v>
      </c>
      <c r="B328" s="5" t="s">
        <v>362</v>
      </c>
      <c r="C328" s="5">
        <v>48</v>
      </c>
      <c r="D328" s="12" t="str">
        <f t="shared" si="15"/>
        <v>Elder</v>
      </c>
      <c r="E328" s="5" t="s">
        <v>16</v>
      </c>
      <c r="F328" s="5" t="s">
        <v>17</v>
      </c>
      <c r="G328" s="5" t="s">
        <v>46</v>
      </c>
      <c r="H328" s="5" t="s">
        <v>19</v>
      </c>
      <c r="I328" s="5">
        <v>6</v>
      </c>
      <c r="J328" s="12" t="str">
        <f t="shared" si="16"/>
        <v>Mid-level</v>
      </c>
      <c r="K328" s="5">
        <v>1327</v>
      </c>
      <c r="L328" s="5">
        <v>5327</v>
      </c>
      <c r="M328" s="5">
        <v>49139</v>
      </c>
      <c r="N328" s="5" t="s">
        <v>20</v>
      </c>
      <c r="O328" s="5">
        <v>28</v>
      </c>
      <c r="P328" s="5">
        <v>4</v>
      </c>
      <c r="Q328" s="15" t="str">
        <f t="shared" si="17"/>
        <v>Excellent</v>
      </c>
      <c r="R328" s="6" t="s">
        <v>36</v>
      </c>
    </row>
    <row r="329" spans="1:18" x14ac:dyDescent="0.3">
      <c r="A329" s="4">
        <v>328</v>
      </c>
      <c r="B329" s="5" t="s">
        <v>363</v>
      </c>
      <c r="C329" s="5">
        <v>45</v>
      </c>
      <c r="D329" s="12" t="str">
        <f t="shared" si="15"/>
        <v>Elder</v>
      </c>
      <c r="E329" s="5" t="s">
        <v>16</v>
      </c>
      <c r="F329" s="5" t="s">
        <v>43</v>
      </c>
      <c r="G329" s="5" t="s">
        <v>25</v>
      </c>
      <c r="H329" s="5" t="s">
        <v>26</v>
      </c>
      <c r="I329" s="5">
        <v>4</v>
      </c>
      <c r="J329" s="12" t="str">
        <f t="shared" si="16"/>
        <v>Junior</v>
      </c>
      <c r="K329" s="5">
        <v>1328</v>
      </c>
      <c r="L329" s="5">
        <v>5328</v>
      </c>
      <c r="M329" s="5">
        <v>105445</v>
      </c>
      <c r="N329" s="5" t="s">
        <v>20</v>
      </c>
      <c r="O329" s="5">
        <v>70</v>
      </c>
      <c r="P329" s="5">
        <v>3</v>
      </c>
      <c r="Q329" s="15" t="str">
        <f t="shared" si="17"/>
        <v>Good</v>
      </c>
      <c r="R329" s="6" t="s">
        <v>40</v>
      </c>
    </row>
    <row r="330" spans="1:18" x14ac:dyDescent="0.3">
      <c r="A330" s="4">
        <v>329</v>
      </c>
      <c r="B330" s="5" t="s">
        <v>364</v>
      </c>
      <c r="C330" s="5">
        <v>54</v>
      </c>
      <c r="D330" s="12" t="str">
        <f t="shared" si="15"/>
        <v>Senior</v>
      </c>
      <c r="E330" s="5" t="s">
        <v>16</v>
      </c>
      <c r="F330" s="5" t="s">
        <v>17</v>
      </c>
      <c r="G330" s="5" t="s">
        <v>46</v>
      </c>
      <c r="H330" s="5" t="s">
        <v>26</v>
      </c>
      <c r="I330" s="5">
        <v>0</v>
      </c>
      <c r="J330" s="12" t="str">
        <f t="shared" si="16"/>
        <v>Beginner</v>
      </c>
      <c r="K330" s="5">
        <v>1329</v>
      </c>
      <c r="L330" s="5">
        <v>5329</v>
      </c>
      <c r="M330" s="5">
        <v>97067</v>
      </c>
      <c r="N330" s="5" t="s">
        <v>30</v>
      </c>
      <c r="O330" s="5">
        <v>44</v>
      </c>
      <c r="P330" s="5">
        <v>1</v>
      </c>
      <c r="Q330" s="15" t="str">
        <f t="shared" si="17"/>
        <v>Poor</v>
      </c>
      <c r="R330" s="6" t="s">
        <v>36</v>
      </c>
    </row>
    <row r="331" spans="1:18" x14ac:dyDescent="0.3">
      <c r="A331" s="4">
        <v>330</v>
      </c>
      <c r="B331" s="5" t="s">
        <v>365</v>
      </c>
      <c r="C331" s="5">
        <v>44</v>
      </c>
      <c r="D331" s="12" t="str">
        <f t="shared" si="15"/>
        <v>Elder</v>
      </c>
      <c r="E331" s="5" t="s">
        <v>23</v>
      </c>
      <c r="F331" s="5" t="s">
        <v>17</v>
      </c>
      <c r="G331" s="5" t="s">
        <v>25</v>
      </c>
      <c r="H331" s="5" t="s">
        <v>19</v>
      </c>
      <c r="I331" s="5">
        <v>12</v>
      </c>
      <c r="J331" s="12" t="str">
        <f t="shared" si="16"/>
        <v>Senior</v>
      </c>
      <c r="K331" s="5">
        <v>1330</v>
      </c>
      <c r="L331" s="5">
        <v>5330</v>
      </c>
      <c r="M331" s="5">
        <v>100257</v>
      </c>
      <c r="N331" s="5" t="s">
        <v>30</v>
      </c>
      <c r="O331" s="5">
        <v>21</v>
      </c>
      <c r="P331" s="5">
        <v>3</v>
      </c>
      <c r="Q331" s="15" t="str">
        <f t="shared" si="17"/>
        <v>Good</v>
      </c>
      <c r="R331" s="6" t="s">
        <v>31</v>
      </c>
    </row>
    <row r="332" spans="1:18" x14ac:dyDescent="0.3">
      <c r="A332" s="4">
        <v>331</v>
      </c>
      <c r="B332" s="5" t="s">
        <v>366</v>
      </c>
      <c r="C332" s="5">
        <v>43</v>
      </c>
      <c r="D332" s="12" t="str">
        <f t="shared" si="15"/>
        <v>Elder</v>
      </c>
      <c r="E332" s="5" t="s">
        <v>23</v>
      </c>
      <c r="F332" s="5" t="s">
        <v>43</v>
      </c>
      <c r="G332" s="5" t="s">
        <v>25</v>
      </c>
      <c r="H332" s="5" t="s">
        <v>26</v>
      </c>
      <c r="I332" s="5">
        <v>17</v>
      </c>
      <c r="J332" s="12" t="str">
        <f t="shared" si="16"/>
        <v>Expert</v>
      </c>
      <c r="K332" s="5">
        <v>1331</v>
      </c>
      <c r="L332" s="5">
        <v>5331</v>
      </c>
      <c r="M332" s="5">
        <v>104742</v>
      </c>
      <c r="N332" s="5" t="s">
        <v>30</v>
      </c>
      <c r="O332" s="5">
        <v>28</v>
      </c>
      <c r="P332" s="5">
        <v>1</v>
      </c>
      <c r="Q332" s="15" t="str">
        <f t="shared" si="17"/>
        <v>Poor</v>
      </c>
      <c r="R332" s="6" t="s">
        <v>31</v>
      </c>
    </row>
    <row r="333" spans="1:18" x14ac:dyDescent="0.3">
      <c r="A333" s="4">
        <v>332</v>
      </c>
      <c r="B333" s="5" t="s">
        <v>367</v>
      </c>
      <c r="C333" s="5">
        <v>32</v>
      </c>
      <c r="D333" s="12" t="str">
        <f t="shared" si="15"/>
        <v>Mid Age</v>
      </c>
      <c r="E333" s="5" t="s">
        <v>23</v>
      </c>
      <c r="F333" s="5" t="s">
        <v>17</v>
      </c>
      <c r="G333" s="5" t="s">
        <v>18</v>
      </c>
      <c r="H333" s="5" t="s">
        <v>26</v>
      </c>
      <c r="I333" s="5">
        <v>12</v>
      </c>
      <c r="J333" s="12" t="str">
        <f t="shared" si="16"/>
        <v>Senior</v>
      </c>
      <c r="K333" s="5">
        <v>1332</v>
      </c>
      <c r="L333" s="5">
        <v>5332</v>
      </c>
      <c r="M333" s="5">
        <v>57711</v>
      </c>
      <c r="N333" s="5" t="s">
        <v>38</v>
      </c>
      <c r="O333" s="5">
        <v>54</v>
      </c>
      <c r="P333" s="5">
        <v>1</v>
      </c>
      <c r="Q333" s="15" t="str">
        <f t="shared" si="17"/>
        <v>Poor</v>
      </c>
      <c r="R333" s="6" t="s">
        <v>40</v>
      </c>
    </row>
    <row r="334" spans="1:18" x14ac:dyDescent="0.3">
      <c r="A334" s="4">
        <v>333</v>
      </c>
      <c r="B334" s="5" t="s">
        <v>368</v>
      </c>
      <c r="C334" s="5">
        <v>26</v>
      </c>
      <c r="D334" s="12" t="str">
        <f t="shared" si="15"/>
        <v>Young</v>
      </c>
      <c r="E334" s="5" t="s">
        <v>16</v>
      </c>
      <c r="F334" s="5" t="s">
        <v>43</v>
      </c>
      <c r="G334" s="5" t="s">
        <v>18</v>
      </c>
      <c r="H334" s="5" t="s">
        <v>19</v>
      </c>
      <c r="I334" s="5">
        <v>17</v>
      </c>
      <c r="J334" s="12" t="str">
        <f t="shared" si="16"/>
        <v>Expert</v>
      </c>
      <c r="K334" s="5">
        <v>1333</v>
      </c>
      <c r="L334" s="5">
        <v>5333</v>
      </c>
      <c r="M334" s="5">
        <v>26530</v>
      </c>
      <c r="N334" s="5" t="s">
        <v>38</v>
      </c>
      <c r="O334" s="5">
        <v>54</v>
      </c>
      <c r="P334" s="5">
        <v>2</v>
      </c>
      <c r="Q334" s="15" t="str">
        <f t="shared" si="17"/>
        <v>Average</v>
      </c>
      <c r="R334" s="6" t="s">
        <v>31</v>
      </c>
    </row>
    <row r="335" spans="1:18" x14ac:dyDescent="0.3">
      <c r="A335" s="4">
        <v>334</v>
      </c>
      <c r="B335" s="5" t="s">
        <v>369</v>
      </c>
      <c r="C335" s="5">
        <v>55</v>
      </c>
      <c r="D335" s="12" t="str">
        <f t="shared" si="15"/>
        <v>Senior</v>
      </c>
      <c r="E335" s="5" t="s">
        <v>23</v>
      </c>
      <c r="F335" s="5" t="s">
        <v>17</v>
      </c>
      <c r="G335" s="5" t="s">
        <v>18</v>
      </c>
      <c r="H335" s="5" t="s">
        <v>19</v>
      </c>
      <c r="I335" s="5">
        <v>4</v>
      </c>
      <c r="J335" s="12" t="str">
        <f t="shared" si="16"/>
        <v>Junior</v>
      </c>
      <c r="K335" s="5">
        <v>1334</v>
      </c>
      <c r="L335" s="5">
        <v>5334</v>
      </c>
      <c r="M335" s="5">
        <v>31116</v>
      </c>
      <c r="N335" s="5" t="s">
        <v>30</v>
      </c>
      <c r="O335" s="5">
        <v>65</v>
      </c>
      <c r="P335" s="5">
        <v>1</v>
      </c>
      <c r="Q335" s="15" t="str">
        <f t="shared" si="17"/>
        <v>Poor</v>
      </c>
      <c r="R335" s="6" t="s">
        <v>31</v>
      </c>
    </row>
    <row r="336" spans="1:18" x14ac:dyDescent="0.3">
      <c r="A336" s="4">
        <v>335</v>
      </c>
      <c r="B336" s="5" t="s">
        <v>370</v>
      </c>
      <c r="C336" s="5">
        <v>39</v>
      </c>
      <c r="D336" s="12" t="str">
        <f t="shared" si="15"/>
        <v>Mid Age</v>
      </c>
      <c r="E336" s="5" t="s">
        <v>16</v>
      </c>
      <c r="F336" s="5" t="s">
        <v>43</v>
      </c>
      <c r="G336" s="5" t="s">
        <v>46</v>
      </c>
      <c r="H336" s="5" t="s">
        <v>19</v>
      </c>
      <c r="I336" s="5">
        <v>12</v>
      </c>
      <c r="J336" s="12" t="str">
        <f t="shared" si="16"/>
        <v>Senior</v>
      </c>
      <c r="K336" s="5">
        <v>1335</v>
      </c>
      <c r="L336" s="5">
        <v>5335</v>
      </c>
      <c r="M336" s="5">
        <v>85794</v>
      </c>
      <c r="N336" s="5" t="s">
        <v>38</v>
      </c>
      <c r="O336" s="5">
        <v>21</v>
      </c>
      <c r="P336" s="5">
        <v>1</v>
      </c>
      <c r="Q336" s="15" t="str">
        <f t="shared" si="17"/>
        <v>Poor</v>
      </c>
      <c r="R336" s="6" t="s">
        <v>21</v>
      </c>
    </row>
    <row r="337" spans="1:18" x14ac:dyDescent="0.3">
      <c r="A337" s="4">
        <v>336</v>
      </c>
      <c r="B337" s="5" t="s">
        <v>371</v>
      </c>
      <c r="C337" s="5">
        <v>20</v>
      </c>
      <c r="D337" s="12" t="str">
        <f t="shared" si="15"/>
        <v>Young</v>
      </c>
      <c r="E337" s="5" t="s">
        <v>23</v>
      </c>
      <c r="F337" s="5" t="s">
        <v>24</v>
      </c>
      <c r="G337" s="5" t="s">
        <v>33</v>
      </c>
      <c r="H337" s="5" t="s">
        <v>19</v>
      </c>
      <c r="I337" s="5">
        <v>3</v>
      </c>
      <c r="J337" s="12" t="str">
        <f t="shared" si="16"/>
        <v>Junior</v>
      </c>
      <c r="K337" s="5">
        <v>1336</v>
      </c>
      <c r="L337" s="5">
        <v>5336</v>
      </c>
      <c r="M337" s="5">
        <v>20282</v>
      </c>
      <c r="N337" s="5" t="s">
        <v>27</v>
      </c>
      <c r="O337" s="5">
        <v>99</v>
      </c>
      <c r="P337" s="5">
        <v>3</v>
      </c>
      <c r="Q337" s="15" t="str">
        <f t="shared" si="17"/>
        <v>Good</v>
      </c>
      <c r="R337" s="6" t="s">
        <v>36</v>
      </c>
    </row>
    <row r="338" spans="1:18" x14ac:dyDescent="0.3">
      <c r="A338" s="4">
        <v>337</v>
      </c>
      <c r="B338" s="5" t="s">
        <v>372</v>
      </c>
      <c r="C338" s="5">
        <v>27</v>
      </c>
      <c r="D338" s="12" t="str">
        <f t="shared" si="15"/>
        <v>Young</v>
      </c>
      <c r="E338" s="5" t="s">
        <v>23</v>
      </c>
      <c r="F338" s="5" t="s">
        <v>45</v>
      </c>
      <c r="G338" s="5" t="s">
        <v>25</v>
      </c>
      <c r="H338" s="5" t="s">
        <v>29</v>
      </c>
      <c r="I338" s="5">
        <v>16</v>
      </c>
      <c r="J338" s="12" t="str">
        <f t="shared" si="16"/>
        <v>Expert</v>
      </c>
      <c r="K338" s="5">
        <v>1337</v>
      </c>
      <c r="L338" s="5">
        <v>5337</v>
      </c>
      <c r="M338" s="5">
        <v>99473</v>
      </c>
      <c r="N338" s="5" t="s">
        <v>27</v>
      </c>
      <c r="O338" s="5">
        <v>13</v>
      </c>
      <c r="P338" s="5">
        <v>1</v>
      </c>
      <c r="Q338" s="15" t="str">
        <f t="shared" si="17"/>
        <v>Poor</v>
      </c>
      <c r="R338" s="6" t="s">
        <v>40</v>
      </c>
    </row>
    <row r="339" spans="1:18" x14ac:dyDescent="0.3">
      <c r="A339" s="4">
        <v>338</v>
      </c>
      <c r="B339" s="5" t="s">
        <v>373</v>
      </c>
      <c r="C339" s="5">
        <v>35</v>
      </c>
      <c r="D339" s="12" t="str">
        <f t="shared" si="15"/>
        <v>Mid Age</v>
      </c>
      <c r="E339" s="5" t="s">
        <v>23</v>
      </c>
      <c r="F339" s="5" t="s">
        <v>43</v>
      </c>
      <c r="G339" s="5" t="s">
        <v>25</v>
      </c>
      <c r="H339" s="5" t="s">
        <v>19</v>
      </c>
      <c r="I339" s="5">
        <v>2</v>
      </c>
      <c r="J339" s="12" t="str">
        <f t="shared" si="16"/>
        <v>Beginner</v>
      </c>
      <c r="K339" s="5">
        <v>1338</v>
      </c>
      <c r="L339" s="5">
        <v>5338</v>
      </c>
      <c r="M339" s="5">
        <v>21898</v>
      </c>
      <c r="N339" s="5" t="s">
        <v>38</v>
      </c>
      <c r="O339" s="5">
        <v>57</v>
      </c>
      <c r="P339" s="5">
        <v>3</v>
      </c>
      <c r="Q339" s="15" t="str">
        <f t="shared" si="17"/>
        <v>Good</v>
      </c>
      <c r="R339" s="6" t="s">
        <v>40</v>
      </c>
    </row>
    <row r="340" spans="1:18" x14ac:dyDescent="0.3">
      <c r="A340" s="4">
        <v>339</v>
      </c>
      <c r="B340" s="5" t="s">
        <v>374</v>
      </c>
      <c r="C340" s="5">
        <v>33</v>
      </c>
      <c r="D340" s="12" t="str">
        <f t="shared" si="15"/>
        <v>Mid Age</v>
      </c>
      <c r="E340" s="5" t="s">
        <v>16</v>
      </c>
      <c r="F340" s="5" t="s">
        <v>43</v>
      </c>
      <c r="G340" s="5" t="s">
        <v>25</v>
      </c>
      <c r="H340" s="5" t="s">
        <v>29</v>
      </c>
      <c r="I340" s="5">
        <v>16</v>
      </c>
      <c r="J340" s="12" t="str">
        <f t="shared" si="16"/>
        <v>Expert</v>
      </c>
      <c r="K340" s="5">
        <v>1339</v>
      </c>
      <c r="L340" s="5">
        <v>5339</v>
      </c>
      <c r="M340" s="5">
        <v>24135</v>
      </c>
      <c r="N340" s="5" t="s">
        <v>38</v>
      </c>
      <c r="O340" s="5">
        <v>49</v>
      </c>
      <c r="P340" s="5">
        <v>4</v>
      </c>
      <c r="Q340" s="15" t="str">
        <f t="shared" si="17"/>
        <v>Excellent</v>
      </c>
      <c r="R340" s="6" t="s">
        <v>40</v>
      </c>
    </row>
    <row r="341" spans="1:18" x14ac:dyDescent="0.3">
      <c r="A341" s="4">
        <v>340</v>
      </c>
      <c r="B341" s="5" t="s">
        <v>375</v>
      </c>
      <c r="C341" s="5">
        <v>31</v>
      </c>
      <c r="D341" s="12" t="str">
        <f t="shared" si="15"/>
        <v>Mid Age</v>
      </c>
      <c r="E341" s="5" t="s">
        <v>23</v>
      </c>
      <c r="F341" s="5" t="s">
        <v>45</v>
      </c>
      <c r="G341" s="5" t="s">
        <v>46</v>
      </c>
      <c r="H341" s="5" t="s">
        <v>29</v>
      </c>
      <c r="I341" s="5">
        <v>10</v>
      </c>
      <c r="J341" s="12" t="str">
        <f t="shared" si="16"/>
        <v>Mid-level</v>
      </c>
      <c r="K341" s="5">
        <v>1340</v>
      </c>
      <c r="L341" s="5">
        <v>5340</v>
      </c>
      <c r="M341" s="5">
        <v>26629</v>
      </c>
      <c r="N341" s="5" t="s">
        <v>27</v>
      </c>
      <c r="O341" s="5">
        <v>54</v>
      </c>
      <c r="P341" s="5">
        <v>1</v>
      </c>
      <c r="Q341" s="15" t="str">
        <f t="shared" si="17"/>
        <v>Poor</v>
      </c>
      <c r="R341" s="6" t="s">
        <v>40</v>
      </c>
    </row>
    <row r="342" spans="1:18" x14ac:dyDescent="0.3">
      <c r="A342" s="4">
        <v>341</v>
      </c>
      <c r="B342" s="5" t="s">
        <v>376</v>
      </c>
      <c r="C342" s="5">
        <v>42</v>
      </c>
      <c r="D342" s="12" t="str">
        <f t="shared" si="15"/>
        <v>Elder</v>
      </c>
      <c r="E342" s="5" t="s">
        <v>23</v>
      </c>
      <c r="F342" s="5" t="s">
        <v>43</v>
      </c>
      <c r="G342" s="5" t="s">
        <v>18</v>
      </c>
      <c r="H342" s="5" t="s">
        <v>29</v>
      </c>
      <c r="I342" s="5">
        <v>19</v>
      </c>
      <c r="J342" s="12" t="str">
        <f t="shared" si="16"/>
        <v>Expert</v>
      </c>
      <c r="K342" s="5">
        <v>1341</v>
      </c>
      <c r="L342" s="5">
        <v>5341</v>
      </c>
      <c r="M342" s="5">
        <v>105120</v>
      </c>
      <c r="N342" s="5" t="s">
        <v>20</v>
      </c>
      <c r="O342" s="5">
        <v>10</v>
      </c>
      <c r="P342" s="5">
        <v>1</v>
      </c>
      <c r="Q342" s="15" t="str">
        <f t="shared" si="17"/>
        <v>Poor</v>
      </c>
      <c r="R342" s="6" t="s">
        <v>40</v>
      </c>
    </row>
    <row r="343" spans="1:18" x14ac:dyDescent="0.3">
      <c r="A343" s="4">
        <v>342</v>
      </c>
      <c r="B343" s="5" t="s">
        <v>377</v>
      </c>
      <c r="C343" s="5">
        <v>34</v>
      </c>
      <c r="D343" s="12" t="str">
        <f t="shared" si="15"/>
        <v>Mid Age</v>
      </c>
      <c r="E343" s="5" t="s">
        <v>16</v>
      </c>
      <c r="F343" s="5" t="s">
        <v>43</v>
      </c>
      <c r="G343" s="5" t="s">
        <v>33</v>
      </c>
      <c r="H343" s="5" t="s">
        <v>26</v>
      </c>
      <c r="I343" s="5">
        <v>3</v>
      </c>
      <c r="J343" s="12" t="str">
        <f t="shared" si="16"/>
        <v>Junior</v>
      </c>
      <c r="K343" s="5">
        <v>1342</v>
      </c>
      <c r="L343" s="5">
        <v>5342</v>
      </c>
      <c r="M343" s="5">
        <v>109087</v>
      </c>
      <c r="N343" s="5" t="s">
        <v>27</v>
      </c>
      <c r="O343" s="5">
        <v>53</v>
      </c>
      <c r="P343" s="5">
        <v>3</v>
      </c>
      <c r="Q343" s="15" t="str">
        <f t="shared" si="17"/>
        <v>Good</v>
      </c>
      <c r="R343" s="6" t="s">
        <v>31</v>
      </c>
    </row>
    <row r="344" spans="1:18" x14ac:dyDescent="0.3">
      <c r="A344" s="4">
        <v>343</v>
      </c>
      <c r="B344" s="5" t="s">
        <v>378</v>
      </c>
      <c r="C344" s="5">
        <v>47</v>
      </c>
      <c r="D344" s="12" t="str">
        <f t="shared" si="15"/>
        <v>Elder</v>
      </c>
      <c r="E344" s="5" t="s">
        <v>23</v>
      </c>
      <c r="F344" s="5" t="s">
        <v>17</v>
      </c>
      <c r="G344" s="5" t="s">
        <v>46</v>
      </c>
      <c r="H344" s="5" t="s">
        <v>29</v>
      </c>
      <c r="I344" s="5">
        <v>1</v>
      </c>
      <c r="J344" s="12" t="str">
        <f t="shared" si="16"/>
        <v>Beginner</v>
      </c>
      <c r="K344" s="5">
        <v>1343</v>
      </c>
      <c r="L344" s="5">
        <v>5343</v>
      </c>
      <c r="M344" s="5">
        <v>85031</v>
      </c>
      <c r="N344" s="5" t="s">
        <v>27</v>
      </c>
      <c r="O344" s="5">
        <v>44</v>
      </c>
      <c r="P344" s="5">
        <v>4</v>
      </c>
      <c r="Q344" s="15" t="str">
        <f t="shared" si="17"/>
        <v>Excellent</v>
      </c>
      <c r="R344" s="6" t="s">
        <v>21</v>
      </c>
    </row>
    <row r="345" spans="1:18" x14ac:dyDescent="0.3">
      <c r="A345" s="4">
        <v>344</v>
      </c>
      <c r="B345" s="5" t="s">
        <v>379</v>
      </c>
      <c r="C345" s="5">
        <v>53</v>
      </c>
      <c r="D345" s="12" t="str">
        <f t="shared" si="15"/>
        <v>Senior</v>
      </c>
      <c r="E345" s="5" t="s">
        <v>16</v>
      </c>
      <c r="F345" s="5" t="s">
        <v>45</v>
      </c>
      <c r="G345" s="5" t="s">
        <v>18</v>
      </c>
      <c r="H345" s="5" t="s">
        <v>29</v>
      </c>
      <c r="I345" s="5">
        <v>19</v>
      </c>
      <c r="J345" s="12" t="str">
        <f t="shared" si="16"/>
        <v>Expert</v>
      </c>
      <c r="K345" s="5">
        <v>1344</v>
      </c>
      <c r="L345" s="5">
        <v>5344</v>
      </c>
      <c r="M345" s="5">
        <v>53380</v>
      </c>
      <c r="N345" s="5" t="s">
        <v>38</v>
      </c>
      <c r="O345" s="5">
        <v>47</v>
      </c>
      <c r="P345" s="5">
        <v>2</v>
      </c>
      <c r="Q345" s="15" t="str">
        <f t="shared" si="17"/>
        <v>Average</v>
      </c>
      <c r="R345" s="6" t="s">
        <v>40</v>
      </c>
    </row>
    <row r="346" spans="1:18" x14ac:dyDescent="0.3">
      <c r="A346" s="4">
        <v>345</v>
      </c>
      <c r="B346" s="5" t="s">
        <v>380</v>
      </c>
      <c r="C346" s="5">
        <v>21</v>
      </c>
      <c r="D346" s="12" t="str">
        <f t="shared" si="15"/>
        <v>Young</v>
      </c>
      <c r="E346" s="5" t="s">
        <v>23</v>
      </c>
      <c r="F346" s="5" t="s">
        <v>24</v>
      </c>
      <c r="G346" s="5" t="s">
        <v>46</v>
      </c>
      <c r="H346" s="5" t="s">
        <v>26</v>
      </c>
      <c r="I346" s="5">
        <v>15</v>
      </c>
      <c r="J346" s="12" t="str">
        <f t="shared" si="16"/>
        <v>Senior</v>
      </c>
      <c r="K346" s="5">
        <v>1345</v>
      </c>
      <c r="L346" s="5">
        <v>5345</v>
      </c>
      <c r="M346" s="5">
        <v>37071</v>
      </c>
      <c r="N346" s="5" t="s">
        <v>27</v>
      </c>
      <c r="O346" s="5">
        <v>53</v>
      </c>
      <c r="P346" s="5">
        <v>4</v>
      </c>
      <c r="Q346" s="15" t="str">
        <f t="shared" si="17"/>
        <v>Excellent</v>
      </c>
      <c r="R346" s="6" t="s">
        <v>21</v>
      </c>
    </row>
    <row r="347" spans="1:18" x14ac:dyDescent="0.3">
      <c r="A347" s="4">
        <v>346</v>
      </c>
      <c r="B347" s="5" t="s">
        <v>381</v>
      </c>
      <c r="C347" s="5">
        <v>51</v>
      </c>
      <c r="D347" s="12" t="str">
        <f t="shared" si="15"/>
        <v>Senior</v>
      </c>
      <c r="E347" s="5" t="s">
        <v>16</v>
      </c>
      <c r="F347" s="5" t="s">
        <v>43</v>
      </c>
      <c r="G347" s="5" t="s">
        <v>33</v>
      </c>
      <c r="H347" s="5" t="s">
        <v>26</v>
      </c>
      <c r="I347" s="5">
        <v>17</v>
      </c>
      <c r="J347" s="12" t="str">
        <f t="shared" si="16"/>
        <v>Expert</v>
      </c>
      <c r="K347" s="5">
        <v>1346</v>
      </c>
      <c r="L347" s="5">
        <v>5346</v>
      </c>
      <c r="M347" s="5">
        <v>40074</v>
      </c>
      <c r="N347" s="5" t="s">
        <v>38</v>
      </c>
      <c r="O347" s="5">
        <v>74</v>
      </c>
      <c r="P347" s="5">
        <v>3</v>
      </c>
      <c r="Q347" s="15" t="str">
        <f t="shared" si="17"/>
        <v>Good</v>
      </c>
      <c r="R347" s="6" t="s">
        <v>21</v>
      </c>
    </row>
    <row r="348" spans="1:18" x14ac:dyDescent="0.3">
      <c r="A348" s="4">
        <v>347</v>
      </c>
      <c r="B348" s="5" t="s">
        <v>382</v>
      </c>
      <c r="C348" s="5">
        <v>42</v>
      </c>
      <c r="D348" s="12" t="str">
        <f t="shared" si="15"/>
        <v>Elder</v>
      </c>
      <c r="E348" s="5" t="s">
        <v>16</v>
      </c>
      <c r="F348" s="5" t="s">
        <v>45</v>
      </c>
      <c r="G348" s="5" t="s">
        <v>18</v>
      </c>
      <c r="H348" s="5" t="s">
        <v>26</v>
      </c>
      <c r="I348" s="5">
        <v>7</v>
      </c>
      <c r="J348" s="12" t="str">
        <f t="shared" si="16"/>
        <v>Mid-level</v>
      </c>
      <c r="K348" s="5">
        <v>1347</v>
      </c>
      <c r="L348" s="5">
        <v>5347</v>
      </c>
      <c r="M348" s="5">
        <v>110724</v>
      </c>
      <c r="N348" s="5" t="s">
        <v>38</v>
      </c>
      <c r="O348" s="5">
        <v>46</v>
      </c>
      <c r="P348" s="5">
        <v>4</v>
      </c>
      <c r="Q348" s="15" t="str">
        <f t="shared" si="17"/>
        <v>Excellent</v>
      </c>
      <c r="R348" s="6" t="s">
        <v>31</v>
      </c>
    </row>
    <row r="349" spans="1:18" x14ac:dyDescent="0.3">
      <c r="A349" s="4">
        <v>348</v>
      </c>
      <c r="B349" s="5" t="s">
        <v>383</v>
      </c>
      <c r="C349" s="5">
        <v>41</v>
      </c>
      <c r="D349" s="12" t="str">
        <f t="shared" si="15"/>
        <v>Elder</v>
      </c>
      <c r="E349" s="5" t="s">
        <v>23</v>
      </c>
      <c r="F349" s="5" t="s">
        <v>17</v>
      </c>
      <c r="G349" s="5" t="s">
        <v>46</v>
      </c>
      <c r="H349" s="5" t="s">
        <v>19</v>
      </c>
      <c r="I349" s="5">
        <v>2</v>
      </c>
      <c r="J349" s="12" t="str">
        <f t="shared" si="16"/>
        <v>Beginner</v>
      </c>
      <c r="K349" s="5">
        <v>1348</v>
      </c>
      <c r="L349" s="5">
        <v>5348</v>
      </c>
      <c r="M349" s="5">
        <v>87843</v>
      </c>
      <c r="N349" s="5" t="s">
        <v>30</v>
      </c>
      <c r="O349" s="5">
        <v>13</v>
      </c>
      <c r="P349" s="5">
        <v>3</v>
      </c>
      <c r="Q349" s="15" t="str">
        <f t="shared" si="17"/>
        <v>Good</v>
      </c>
      <c r="R349" s="6" t="s">
        <v>40</v>
      </c>
    </row>
    <row r="350" spans="1:18" x14ac:dyDescent="0.3">
      <c r="A350" s="4">
        <v>349</v>
      </c>
      <c r="B350" s="5" t="s">
        <v>384</v>
      </c>
      <c r="C350" s="5">
        <v>44</v>
      </c>
      <c r="D350" s="12" t="str">
        <f t="shared" si="15"/>
        <v>Elder</v>
      </c>
      <c r="E350" s="5" t="s">
        <v>16</v>
      </c>
      <c r="F350" s="5" t="s">
        <v>24</v>
      </c>
      <c r="G350" s="5" t="s">
        <v>33</v>
      </c>
      <c r="H350" s="5" t="s">
        <v>26</v>
      </c>
      <c r="I350" s="5">
        <v>8</v>
      </c>
      <c r="J350" s="12" t="str">
        <f t="shared" si="16"/>
        <v>Mid-level</v>
      </c>
      <c r="K350" s="5">
        <v>1349</v>
      </c>
      <c r="L350" s="5">
        <v>5349</v>
      </c>
      <c r="M350" s="5">
        <v>59901</v>
      </c>
      <c r="N350" s="5" t="s">
        <v>27</v>
      </c>
      <c r="O350" s="5">
        <v>37</v>
      </c>
      <c r="P350" s="5">
        <v>3</v>
      </c>
      <c r="Q350" s="15" t="str">
        <f t="shared" si="17"/>
        <v>Good</v>
      </c>
      <c r="R350" s="6" t="s">
        <v>31</v>
      </c>
    </row>
    <row r="351" spans="1:18" x14ac:dyDescent="0.3">
      <c r="A351" s="4">
        <v>350</v>
      </c>
      <c r="B351" s="5" t="s">
        <v>385</v>
      </c>
      <c r="C351" s="5">
        <v>41</v>
      </c>
      <c r="D351" s="12" t="str">
        <f t="shared" si="15"/>
        <v>Elder</v>
      </c>
      <c r="E351" s="5" t="s">
        <v>16</v>
      </c>
      <c r="F351" s="5" t="s">
        <v>45</v>
      </c>
      <c r="G351" s="5" t="s">
        <v>25</v>
      </c>
      <c r="H351" s="5" t="s">
        <v>26</v>
      </c>
      <c r="I351" s="5">
        <v>19</v>
      </c>
      <c r="J351" s="12" t="str">
        <f t="shared" si="16"/>
        <v>Expert</v>
      </c>
      <c r="K351" s="5">
        <v>1350</v>
      </c>
      <c r="L351" s="5">
        <v>5350</v>
      </c>
      <c r="M351" s="5">
        <v>31205</v>
      </c>
      <c r="N351" s="5" t="s">
        <v>20</v>
      </c>
      <c r="O351" s="5">
        <v>24</v>
      </c>
      <c r="P351" s="5">
        <v>2</v>
      </c>
      <c r="Q351" s="15" t="str">
        <f t="shared" si="17"/>
        <v>Average</v>
      </c>
      <c r="R351" s="6" t="s">
        <v>40</v>
      </c>
    </row>
    <row r="352" spans="1:18" x14ac:dyDescent="0.3">
      <c r="A352" s="4">
        <v>351</v>
      </c>
      <c r="B352" s="5" t="s">
        <v>386</v>
      </c>
      <c r="C352" s="5">
        <v>41</v>
      </c>
      <c r="D352" s="12" t="str">
        <f t="shared" si="15"/>
        <v>Elder</v>
      </c>
      <c r="E352" s="5" t="s">
        <v>16</v>
      </c>
      <c r="F352" s="5" t="s">
        <v>24</v>
      </c>
      <c r="G352" s="5" t="s">
        <v>33</v>
      </c>
      <c r="H352" s="5" t="s">
        <v>29</v>
      </c>
      <c r="I352" s="5">
        <v>5</v>
      </c>
      <c r="J352" s="12" t="str">
        <f t="shared" si="16"/>
        <v>Junior</v>
      </c>
      <c r="K352" s="5">
        <v>1351</v>
      </c>
      <c r="L352" s="5">
        <v>5351</v>
      </c>
      <c r="M352" s="5">
        <v>75661</v>
      </c>
      <c r="N352" s="5" t="s">
        <v>30</v>
      </c>
      <c r="O352" s="5">
        <v>2</v>
      </c>
      <c r="P352" s="5">
        <v>1</v>
      </c>
      <c r="Q352" s="15" t="str">
        <f t="shared" si="17"/>
        <v>Poor</v>
      </c>
      <c r="R352" s="6" t="s">
        <v>31</v>
      </c>
    </row>
    <row r="353" spans="1:18" x14ac:dyDescent="0.3">
      <c r="A353" s="4">
        <v>352</v>
      </c>
      <c r="B353" s="5" t="s">
        <v>387</v>
      </c>
      <c r="C353" s="5">
        <v>25</v>
      </c>
      <c r="D353" s="12" t="str">
        <f t="shared" si="15"/>
        <v>Young</v>
      </c>
      <c r="E353" s="5" t="s">
        <v>16</v>
      </c>
      <c r="F353" s="5" t="s">
        <v>24</v>
      </c>
      <c r="G353" s="5" t="s">
        <v>25</v>
      </c>
      <c r="H353" s="5" t="s">
        <v>26</v>
      </c>
      <c r="I353" s="5">
        <v>9</v>
      </c>
      <c r="J353" s="12" t="str">
        <f t="shared" si="16"/>
        <v>Mid-level</v>
      </c>
      <c r="K353" s="5">
        <v>1352</v>
      </c>
      <c r="L353" s="5">
        <v>5352</v>
      </c>
      <c r="M353" s="5">
        <v>25906</v>
      </c>
      <c r="N353" s="5" t="s">
        <v>38</v>
      </c>
      <c r="O353" s="5">
        <v>86</v>
      </c>
      <c r="P353" s="5">
        <v>3</v>
      </c>
      <c r="Q353" s="15" t="str">
        <f t="shared" si="17"/>
        <v>Good</v>
      </c>
      <c r="R353" s="6" t="s">
        <v>21</v>
      </c>
    </row>
    <row r="354" spans="1:18" x14ac:dyDescent="0.3">
      <c r="A354" s="4">
        <v>353</v>
      </c>
      <c r="B354" s="5" t="s">
        <v>388</v>
      </c>
      <c r="C354" s="5">
        <v>34</v>
      </c>
      <c r="D354" s="12" t="str">
        <f t="shared" si="15"/>
        <v>Mid Age</v>
      </c>
      <c r="E354" s="5" t="s">
        <v>16</v>
      </c>
      <c r="F354" s="5" t="s">
        <v>24</v>
      </c>
      <c r="G354" s="5" t="s">
        <v>46</v>
      </c>
      <c r="H354" s="5" t="s">
        <v>19</v>
      </c>
      <c r="I354" s="5">
        <v>9</v>
      </c>
      <c r="J354" s="12" t="str">
        <f t="shared" si="16"/>
        <v>Mid-level</v>
      </c>
      <c r="K354" s="5">
        <v>1353</v>
      </c>
      <c r="L354" s="5">
        <v>5353</v>
      </c>
      <c r="M354" s="5">
        <v>22591</v>
      </c>
      <c r="N354" s="5" t="s">
        <v>38</v>
      </c>
      <c r="O354" s="5">
        <v>81</v>
      </c>
      <c r="P354" s="5">
        <v>3</v>
      </c>
      <c r="Q354" s="15" t="str">
        <f t="shared" si="17"/>
        <v>Good</v>
      </c>
      <c r="R354" s="6" t="s">
        <v>40</v>
      </c>
    </row>
    <row r="355" spans="1:18" x14ac:dyDescent="0.3">
      <c r="A355" s="4">
        <v>354</v>
      </c>
      <c r="B355" s="5" t="s">
        <v>389</v>
      </c>
      <c r="C355" s="5">
        <v>56</v>
      </c>
      <c r="D355" s="12" t="str">
        <f t="shared" si="15"/>
        <v>Senior</v>
      </c>
      <c r="E355" s="5" t="s">
        <v>16</v>
      </c>
      <c r="F355" s="5" t="s">
        <v>43</v>
      </c>
      <c r="G355" s="5" t="s">
        <v>18</v>
      </c>
      <c r="H355" s="5" t="s">
        <v>26</v>
      </c>
      <c r="I355" s="5">
        <v>12</v>
      </c>
      <c r="J355" s="12" t="str">
        <f t="shared" si="16"/>
        <v>Senior</v>
      </c>
      <c r="K355" s="5">
        <v>1354</v>
      </c>
      <c r="L355" s="5">
        <v>5354</v>
      </c>
      <c r="M355" s="5">
        <v>82987</v>
      </c>
      <c r="N355" s="5" t="s">
        <v>20</v>
      </c>
      <c r="O355" s="5">
        <v>14</v>
      </c>
      <c r="P355" s="5">
        <v>2</v>
      </c>
      <c r="Q355" s="15" t="str">
        <f t="shared" si="17"/>
        <v>Average</v>
      </c>
      <c r="R355" s="6" t="s">
        <v>36</v>
      </c>
    </row>
    <row r="356" spans="1:18" x14ac:dyDescent="0.3">
      <c r="A356" s="4">
        <v>355</v>
      </c>
      <c r="B356" s="5" t="s">
        <v>390</v>
      </c>
      <c r="C356" s="5">
        <v>52</v>
      </c>
      <c r="D356" s="12" t="str">
        <f t="shared" si="15"/>
        <v>Senior</v>
      </c>
      <c r="E356" s="5" t="s">
        <v>23</v>
      </c>
      <c r="F356" s="5" t="s">
        <v>43</v>
      </c>
      <c r="G356" s="5" t="s">
        <v>18</v>
      </c>
      <c r="H356" s="5" t="s">
        <v>19</v>
      </c>
      <c r="I356" s="5">
        <v>16</v>
      </c>
      <c r="J356" s="12" t="str">
        <f t="shared" si="16"/>
        <v>Expert</v>
      </c>
      <c r="K356" s="5">
        <v>1355</v>
      </c>
      <c r="L356" s="5">
        <v>5355</v>
      </c>
      <c r="M356" s="5">
        <v>83370</v>
      </c>
      <c r="N356" s="5" t="s">
        <v>38</v>
      </c>
      <c r="O356" s="5">
        <v>10</v>
      </c>
      <c r="P356" s="5">
        <v>3</v>
      </c>
      <c r="Q356" s="15" t="str">
        <f t="shared" si="17"/>
        <v>Good</v>
      </c>
      <c r="R356" s="6" t="s">
        <v>21</v>
      </c>
    </row>
    <row r="357" spans="1:18" x14ac:dyDescent="0.3">
      <c r="A357" s="4">
        <v>356</v>
      </c>
      <c r="B357" s="5" t="s">
        <v>391</v>
      </c>
      <c r="C357" s="5">
        <v>27</v>
      </c>
      <c r="D357" s="12" t="str">
        <f t="shared" si="15"/>
        <v>Young</v>
      </c>
      <c r="E357" s="5" t="s">
        <v>16</v>
      </c>
      <c r="F357" s="5" t="s">
        <v>17</v>
      </c>
      <c r="G357" s="5" t="s">
        <v>46</v>
      </c>
      <c r="H357" s="5" t="s">
        <v>26</v>
      </c>
      <c r="I357" s="5">
        <v>8</v>
      </c>
      <c r="J357" s="12" t="str">
        <f t="shared" si="16"/>
        <v>Mid-level</v>
      </c>
      <c r="K357" s="5">
        <v>1356</v>
      </c>
      <c r="L357" s="5">
        <v>5356</v>
      </c>
      <c r="M357" s="5">
        <v>100685</v>
      </c>
      <c r="N357" s="5" t="s">
        <v>27</v>
      </c>
      <c r="O357" s="5">
        <v>35</v>
      </c>
      <c r="P357" s="5">
        <v>1</v>
      </c>
      <c r="Q357" s="15" t="str">
        <f t="shared" si="17"/>
        <v>Poor</v>
      </c>
      <c r="R357" s="6" t="s">
        <v>36</v>
      </c>
    </row>
    <row r="358" spans="1:18" x14ac:dyDescent="0.3">
      <c r="A358" s="4">
        <v>357</v>
      </c>
      <c r="B358" s="5" t="s">
        <v>392</v>
      </c>
      <c r="C358" s="5">
        <v>24</v>
      </c>
      <c r="D358" s="12" t="str">
        <f t="shared" si="15"/>
        <v>Young</v>
      </c>
      <c r="E358" s="5" t="s">
        <v>16</v>
      </c>
      <c r="F358" s="5" t="s">
        <v>17</v>
      </c>
      <c r="G358" s="5" t="s">
        <v>18</v>
      </c>
      <c r="H358" s="5" t="s">
        <v>26</v>
      </c>
      <c r="I358" s="5">
        <v>16</v>
      </c>
      <c r="J358" s="12" t="str">
        <f t="shared" si="16"/>
        <v>Expert</v>
      </c>
      <c r="K358" s="5">
        <v>1357</v>
      </c>
      <c r="L358" s="5">
        <v>5357</v>
      </c>
      <c r="M358" s="5">
        <v>74400</v>
      </c>
      <c r="N358" s="5" t="s">
        <v>30</v>
      </c>
      <c r="O358" s="5">
        <v>25</v>
      </c>
      <c r="P358" s="5">
        <v>2</v>
      </c>
      <c r="Q358" s="15" t="str">
        <f t="shared" si="17"/>
        <v>Average</v>
      </c>
      <c r="R358" s="6" t="s">
        <v>21</v>
      </c>
    </row>
    <row r="359" spans="1:18" x14ac:dyDescent="0.3">
      <c r="A359" s="4">
        <v>358</v>
      </c>
      <c r="B359" s="5" t="s">
        <v>393</v>
      </c>
      <c r="C359" s="5">
        <v>58</v>
      </c>
      <c r="D359" s="12" t="str">
        <f t="shared" si="15"/>
        <v>Senior</v>
      </c>
      <c r="E359" s="5" t="s">
        <v>23</v>
      </c>
      <c r="F359" s="5" t="s">
        <v>45</v>
      </c>
      <c r="G359" s="5" t="s">
        <v>18</v>
      </c>
      <c r="H359" s="5" t="s">
        <v>26</v>
      </c>
      <c r="I359" s="5">
        <v>8</v>
      </c>
      <c r="J359" s="12" t="str">
        <f t="shared" si="16"/>
        <v>Mid-level</v>
      </c>
      <c r="K359" s="5">
        <v>1358</v>
      </c>
      <c r="L359" s="5">
        <v>5358</v>
      </c>
      <c r="M359" s="5">
        <v>45150</v>
      </c>
      <c r="N359" s="5" t="s">
        <v>38</v>
      </c>
      <c r="O359" s="5">
        <v>3</v>
      </c>
      <c r="P359" s="5">
        <v>1</v>
      </c>
      <c r="Q359" s="15" t="str">
        <f t="shared" si="17"/>
        <v>Poor</v>
      </c>
      <c r="R359" s="6" t="s">
        <v>31</v>
      </c>
    </row>
    <row r="360" spans="1:18" x14ac:dyDescent="0.3">
      <c r="A360" s="4">
        <v>359</v>
      </c>
      <c r="B360" s="5" t="s">
        <v>394</v>
      </c>
      <c r="C360" s="5">
        <v>23</v>
      </c>
      <c r="D360" s="12" t="str">
        <f t="shared" si="15"/>
        <v>Young</v>
      </c>
      <c r="E360" s="5" t="s">
        <v>23</v>
      </c>
      <c r="F360" s="5" t="s">
        <v>17</v>
      </c>
      <c r="G360" s="5" t="s">
        <v>25</v>
      </c>
      <c r="H360" s="5" t="s">
        <v>26</v>
      </c>
      <c r="I360" s="5">
        <v>8</v>
      </c>
      <c r="J360" s="12" t="str">
        <f t="shared" si="16"/>
        <v>Mid-level</v>
      </c>
      <c r="K360" s="5">
        <v>1359</v>
      </c>
      <c r="L360" s="5">
        <v>5359</v>
      </c>
      <c r="M360" s="5">
        <v>51852</v>
      </c>
      <c r="N360" s="5" t="s">
        <v>38</v>
      </c>
      <c r="O360" s="5">
        <v>17</v>
      </c>
      <c r="P360" s="5">
        <v>1</v>
      </c>
      <c r="Q360" s="15" t="str">
        <f t="shared" si="17"/>
        <v>Poor</v>
      </c>
      <c r="R360" s="6" t="s">
        <v>40</v>
      </c>
    </row>
    <row r="361" spans="1:18" x14ac:dyDescent="0.3">
      <c r="A361" s="4">
        <v>360</v>
      </c>
      <c r="B361" s="5" t="s">
        <v>395</v>
      </c>
      <c r="C361" s="5">
        <v>25</v>
      </c>
      <c r="D361" s="12" t="str">
        <f t="shared" si="15"/>
        <v>Young</v>
      </c>
      <c r="E361" s="5" t="s">
        <v>23</v>
      </c>
      <c r="F361" s="5" t="s">
        <v>24</v>
      </c>
      <c r="G361" s="5" t="s">
        <v>46</v>
      </c>
      <c r="H361" s="5" t="s">
        <v>19</v>
      </c>
      <c r="I361" s="5">
        <v>0</v>
      </c>
      <c r="J361" s="12" t="str">
        <f t="shared" si="16"/>
        <v>Beginner</v>
      </c>
      <c r="K361" s="5">
        <v>1360</v>
      </c>
      <c r="L361" s="5">
        <v>5360</v>
      </c>
      <c r="M361" s="5">
        <v>62870</v>
      </c>
      <c r="N361" s="5" t="s">
        <v>20</v>
      </c>
      <c r="O361" s="5">
        <v>12</v>
      </c>
      <c r="P361" s="5">
        <v>2</v>
      </c>
      <c r="Q361" s="15" t="str">
        <f t="shared" si="17"/>
        <v>Average</v>
      </c>
      <c r="R361" s="6" t="s">
        <v>21</v>
      </c>
    </row>
    <row r="362" spans="1:18" x14ac:dyDescent="0.3">
      <c r="A362" s="4">
        <v>361</v>
      </c>
      <c r="B362" s="5" t="s">
        <v>396</v>
      </c>
      <c r="C362" s="5">
        <v>51</v>
      </c>
      <c r="D362" s="12" t="str">
        <f t="shared" si="15"/>
        <v>Senior</v>
      </c>
      <c r="E362" s="5" t="s">
        <v>23</v>
      </c>
      <c r="F362" s="5" t="s">
        <v>24</v>
      </c>
      <c r="G362" s="5" t="s">
        <v>33</v>
      </c>
      <c r="H362" s="5" t="s">
        <v>19</v>
      </c>
      <c r="I362" s="5">
        <v>1</v>
      </c>
      <c r="J362" s="12" t="str">
        <f t="shared" si="16"/>
        <v>Beginner</v>
      </c>
      <c r="K362" s="5">
        <v>1361</v>
      </c>
      <c r="L362" s="5">
        <v>5361</v>
      </c>
      <c r="M362" s="5">
        <v>72756</v>
      </c>
      <c r="N362" s="5" t="s">
        <v>27</v>
      </c>
      <c r="O362" s="5">
        <v>54</v>
      </c>
      <c r="P362" s="5">
        <v>3</v>
      </c>
      <c r="Q362" s="15" t="str">
        <f t="shared" si="17"/>
        <v>Good</v>
      </c>
      <c r="R362" s="6" t="s">
        <v>31</v>
      </c>
    </row>
    <row r="363" spans="1:18" x14ac:dyDescent="0.3">
      <c r="A363" s="4">
        <v>362</v>
      </c>
      <c r="B363" s="5" t="s">
        <v>397</v>
      </c>
      <c r="C363" s="5">
        <v>49</v>
      </c>
      <c r="D363" s="12" t="str">
        <f t="shared" si="15"/>
        <v>Elder</v>
      </c>
      <c r="E363" s="5" t="s">
        <v>23</v>
      </c>
      <c r="F363" s="5" t="s">
        <v>43</v>
      </c>
      <c r="G363" s="5" t="s">
        <v>25</v>
      </c>
      <c r="H363" s="5" t="s">
        <v>29</v>
      </c>
      <c r="I363" s="5">
        <v>15</v>
      </c>
      <c r="J363" s="12" t="str">
        <f t="shared" si="16"/>
        <v>Senior</v>
      </c>
      <c r="K363" s="5">
        <v>1362</v>
      </c>
      <c r="L363" s="5">
        <v>5362</v>
      </c>
      <c r="M363" s="5">
        <v>76481</v>
      </c>
      <c r="N363" s="5" t="s">
        <v>38</v>
      </c>
      <c r="O363" s="5">
        <v>24</v>
      </c>
      <c r="P363" s="5">
        <v>1</v>
      </c>
      <c r="Q363" s="15" t="str">
        <f t="shared" si="17"/>
        <v>Poor</v>
      </c>
      <c r="R363" s="6" t="s">
        <v>40</v>
      </c>
    </row>
    <row r="364" spans="1:18" x14ac:dyDescent="0.3">
      <c r="A364" s="4">
        <v>363</v>
      </c>
      <c r="B364" s="5" t="s">
        <v>398</v>
      </c>
      <c r="C364" s="5">
        <v>54</v>
      </c>
      <c r="D364" s="12" t="str">
        <f t="shared" si="15"/>
        <v>Senior</v>
      </c>
      <c r="E364" s="5" t="s">
        <v>23</v>
      </c>
      <c r="F364" s="5" t="s">
        <v>24</v>
      </c>
      <c r="G364" s="5" t="s">
        <v>46</v>
      </c>
      <c r="H364" s="5" t="s">
        <v>19</v>
      </c>
      <c r="I364" s="5">
        <v>0</v>
      </c>
      <c r="J364" s="12" t="str">
        <f t="shared" si="16"/>
        <v>Beginner</v>
      </c>
      <c r="K364" s="5">
        <v>1363</v>
      </c>
      <c r="L364" s="5">
        <v>5363</v>
      </c>
      <c r="M364" s="5">
        <v>21283</v>
      </c>
      <c r="N364" s="5" t="s">
        <v>20</v>
      </c>
      <c r="O364" s="5">
        <v>29</v>
      </c>
      <c r="P364" s="5">
        <v>1</v>
      </c>
      <c r="Q364" s="15" t="str">
        <f t="shared" si="17"/>
        <v>Poor</v>
      </c>
      <c r="R364" s="6" t="s">
        <v>40</v>
      </c>
    </row>
    <row r="365" spans="1:18" x14ac:dyDescent="0.3">
      <c r="A365" s="4">
        <v>364</v>
      </c>
      <c r="B365" s="5" t="s">
        <v>399</v>
      </c>
      <c r="C365" s="5">
        <v>59</v>
      </c>
      <c r="D365" s="12" t="str">
        <f t="shared" si="15"/>
        <v>Senior</v>
      </c>
      <c r="E365" s="5" t="s">
        <v>23</v>
      </c>
      <c r="F365" s="5" t="s">
        <v>45</v>
      </c>
      <c r="G365" s="5" t="s">
        <v>25</v>
      </c>
      <c r="H365" s="5" t="s">
        <v>26</v>
      </c>
      <c r="I365" s="5">
        <v>9</v>
      </c>
      <c r="J365" s="12" t="str">
        <f t="shared" si="16"/>
        <v>Mid-level</v>
      </c>
      <c r="K365" s="5">
        <v>1364</v>
      </c>
      <c r="L365" s="5">
        <v>5364</v>
      </c>
      <c r="M365" s="5">
        <v>53691</v>
      </c>
      <c r="N365" s="5" t="s">
        <v>38</v>
      </c>
      <c r="O365" s="5">
        <v>43</v>
      </c>
      <c r="P365" s="5">
        <v>1</v>
      </c>
      <c r="Q365" s="15" t="str">
        <f t="shared" si="17"/>
        <v>Poor</v>
      </c>
      <c r="R365" s="6" t="s">
        <v>21</v>
      </c>
    </row>
    <row r="366" spans="1:18" x14ac:dyDescent="0.3">
      <c r="A366" s="4">
        <v>365</v>
      </c>
      <c r="B366" s="5" t="s">
        <v>400</v>
      </c>
      <c r="C366" s="5">
        <v>35</v>
      </c>
      <c r="D366" s="12" t="str">
        <f t="shared" si="15"/>
        <v>Mid Age</v>
      </c>
      <c r="E366" s="5" t="s">
        <v>16</v>
      </c>
      <c r="F366" s="5" t="s">
        <v>24</v>
      </c>
      <c r="G366" s="5" t="s">
        <v>33</v>
      </c>
      <c r="H366" s="5" t="s">
        <v>29</v>
      </c>
      <c r="I366" s="5">
        <v>17</v>
      </c>
      <c r="J366" s="12" t="str">
        <f t="shared" si="16"/>
        <v>Expert</v>
      </c>
      <c r="K366" s="5">
        <v>1365</v>
      </c>
      <c r="L366" s="5">
        <v>5365</v>
      </c>
      <c r="M366" s="5">
        <v>21125</v>
      </c>
      <c r="N366" s="5" t="s">
        <v>20</v>
      </c>
      <c r="O366" s="5">
        <v>25</v>
      </c>
      <c r="P366" s="5">
        <v>1</v>
      </c>
      <c r="Q366" s="15" t="str">
        <f t="shared" si="17"/>
        <v>Poor</v>
      </c>
      <c r="R366" s="6" t="s">
        <v>40</v>
      </c>
    </row>
    <row r="367" spans="1:18" x14ac:dyDescent="0.3">
      <c r="A367" s="4">
        <v>366</v>
      </c>
      <c r="B367" s="5" t="s">
        <v>401</v>
      </c>
      <c r="C367" s="5">
        <v>32</v>
      </c>
      <c r="D367" s="12" t="str">
        <f t="shared" si="15"/>
        <v>Mid Age</v>
      </c>
      <c r="E367" s="5" t="s">
        <v>16</v>
      </c>
      <c r="F367" s="5" t="s">
        <v>24</v>
      </c>
      <c r="G367" s="5" t="s">
        <v>33</v>
      </c>
      <c r="H367" s="5" t="s">
        <v>29</v>
      </c>
      <c r="I367" s="5">
        <v>7</v>
      </c>
      <c r="J367" s="12" t="str">
        <f t="shared" si="16"/>
        <v>Mid-level</v>
      </c>
      <c r="K367" s="5">
        <v>1366</v>
      </c>
      <c r="L367" s="5">
        <v>5366</v>
      </c>
      <c r="M367" s="5">
        <v>87065</v>
      </c>
      <c r="N367" s="5" t="s">
        <v>20</v>
      </c>
      <c r="O367" s="5">
        <v>60</v>
      </c>
      <c r="P367" s="5">
        <v>2</v>
      </c>
      <c r="Q367" s="15" t="str">
        <f t="shared" si="17"/>
        <v>Average</v>
      </c>
      <c r="R367" s="6" t="s">
        <v>21</v>
      </c>
    </row>
    <row r="368" spans="1:18" x14ac:dyDescent="0.3">
      <c r="A368" s="4">
        <v>367</v>
      </c>
      <c r="B368" s="5" t="s">
        <v>402</v>
      </c>
      <c r="C368" s="5">
        <v>49</v>
      </c>
      <c r="D368" s="12" t="str">
        <f t="shared" si="15"/>
        <v>Elder</v>
      </c>
      <c r="E368" s="5" t="s">
        <v>23</v>
      </c>
      <c r="F368" s="5" t="s">
        <v>45</v>
      </c>
      <c r="G368" s="5" t="s">
        <v>46</v>
      </c>
      <c r="H368" s="5" t="s">
        <v>29</v>
      </c>
      <c r="I368" s="5">
        <v>10</v>
      </c>
      <c r="J368" s="12" t="str">
        <f t="shared" si="16"/>
        <v>Mid-level</v>
      </c>
      <c r="K368" s="5">
        <v>1367</v>
      </c>
      <c r="L368" s="5">
        <v>5367</v>
      </c>
      <c r="M368" s="5">
        <v>46170</v>
      </c>
      <c r="N368" s="5" t="s">
        <v>27</v>
      </c>
      <c r="O368" s="5">
        <v>90</v>
      </c>
      <c r="P368" s="5">
        <v>2</v>
      </c>
      <c r="Q368" s="15" t="str">
        <f t="shared" si="17"/>
        <v>Average</v>
      </c>
      <c r="R368" s="6" t="s">
        <v>40</v>
      </c>
    </row>
    <row r="369" spans="1:18" x14ac:dyDescent="0.3">
      <c r="A369" s="4">
        <v>368</v>
      </c>
      <c r="B369" s="5" t="s">
        <v>403</v>
      </c>
      <c r="C369" s="5">
        <v>38</v>
      </c>
      <c r="D369" s="12" t="str">
        <f t="shared" si="15"/>
        <v>Mid Age</v>
      </c>
      <c r="E369" s="5" t="s">
        <v>16</v>
      </c>
      <c r="F369" s="5" t="s">
        <v>17</v>
      </c>
      <c r="G369" s="5" t="s">
        <v>33</v>
      </c>
      <c r="H369" s="5" t="s">
        <v>26</v>
      </c>
      <c r="I369" s="5">
        <v>1</v>
      </c>
      <c r="J369" s="12" t="str">
        <f t="shared" si="16"/>
        <v>Beginner</v>
      </c>
      <c r="K369" s="5">
        <v>1368</v>
      </c>
      <c r="L369" s="5">
        <v>5368</v>
      </c>
      <c r="M369" s="5">
        <v>28438</v>
      </c>
      <c r="N369" s="5" t="s">
        <v>38</v>
      </c>
      <c r="O369" s="5">
        <v>65</v>
      </c>
      <c r="P369" s="5">
        <v>4</v>
      </c>
      <c r="Q369" s="15" t="str">
        <f t="shared" si="17"/>
        <v>Excellent</v>
      </c>
      <c r="R369" s="6" t="s">
        <v>36</v>
      </c>
    </row>
    <row r="370" spans="1:18" x14ac:dyDescent="0.3">
      <c r="A370" s="4">
        <v>369</v>
      </c>
      <c r="B370" s="5" t="s">
        <v>404</v>
      </c>
      <c r="C370" s="5">
        <v>36</v>
      </c>
      <c r="D370" s="12" t="str">
        <f t="shared" si="15"/>
        <v>Mid Age</v>
      </c>
      <c r="E370" s="5" t="s">
        <v>16</v>
      </c>
      <c r="F370" s="5" t="s">
        <v>17</v>
      </c>
      <c r="G370" s="5" t="s">
        <v>25</v>
      </c>
      <c r="H370" s="5" t="s">
        <v>19</v>
      </c>
      <c r="I370" s="5">
        <v>7</v>
      </c>
      <c r="J370" s="12" t="str">
        <f t="shared" si="16"/>
        <v>Mid-level</v>
      </c>
      <c r="K370" s="5">
        <v>1369</v>
      </c>
      <c r="L370" s="5">
        <v>5369</v>
      </c>
      <c r="M370" s="5">
        <v>40095</v>
      </c>
      <c r="N370" s="5" t="s">
        <v>27</v>
      </c>
      <c r="O370" s="5">
        <v>84</v>
      </c>
      <c r="P370" s="5">
        <v>4</v>
      </c>
      <c r="Q370" s="15" t="str">
        <f t="shared" si="17"/>
        <v>Excellent</v>
      </c>
      <c r="R370" s="6" t="s">
        <v>31</v>
      </c>
    </row>
    <row r="371" spans="1:18" x14ac:dyDescent="0.3">
      <c r="A371" s="4">
        <v>370</v>
      </c>
      <c r="B371" s="5" t="s">
        <v>405</v>
      </c>
      <c r="C371" s="5">
        <v>38</v>
      </c>
      <c r="D371" s="12" t="str">
        <f t="shared" si="15"/>
        <v>Mid Age</v>
      </c>
      <c r="E371" s="5" t="s">
        <v>16</v>
      </c>
      <c r="F371" s="5" t="s">
        <v>45</v>
      </c>
      <c r="G371" s="5" t="s">
        <v>33</v>
      </c>
      <c r="H371" s="5" t="s">
        <v>26</v>
      </c>
      <c r="I371" s="5">
        <v>7</v>
      </c>
      <c r="J371" s="12" t="str">
        <f t="shared" si="16"/>
        <v>Mid-level</v>
      </c>
      <c r="K371" s="5">
        <v>1370</v>
      </c>
      <c r="L371" s="5">
        <v>5370</v>
      </c>
      <c r="M371" s="5">
        <v>36154</v>
      </c>
      <c r="N371" s="5" t="s">
        <v>20</v>
      </c>
      <c r="O371" s="5">
        <v>28</v>
      </c>
      <c r="P371" s="5">
        <v>1</v>
      </c>
      <c r="Q371" s="15" t="str">
        <f t="shared" si="17"/>
        <v>Poor</v>
      </c>
      <c r="R371" s="6" t="s">
        <v>36</v>
      </c>
    </row>
    <row r="372" spans="1:18" x14ac:dyDescent="0.3">
      <c r="A372" s="4">
        <v>371</v>
      </c>
      <c r="B372" s="5" t="s">
        <v>406</v>
      </c>
      <c r="C372" s="5">
        <v>47</v>
      </c>
      <c r="D372" s="12" t="str">
        <f t="shared" si="15"/>
        <v>Elder</v>
      </c>
      <c r="E372" s="5" t="s">
        <v>23</v>
      </c>
      <c r="F372" s="5" t="s">
        <v>43</v>
      </c>
      <c r="G372" s="5" t="s">
        <v>25</v>
      </c>
      <c r="H372" s="5" t="s">
        <v>29</v>
      </c>
      <c r="I372" s="5">
        <v>16</v>
      </c>
      <c r="J372" s="12" t="str">
        <f t="shared" si="16"/>
        <v>Expert</v>
      </c>
      <c r="K372" s="5">
        <v>1371</v>
      </c>
      <c r="L372" s="5">
        <v>5371</v>
      </c>
      <c r="M372" s="5">
        <v>28004</v>
      </c>
      <c r="N372" s="5" t="s">
        <v>30</v>
      </c>
      <c r="O372" s="5">
        <v>16</v>
      </c>
      <c r="P372" s="5">
        <v>3</v>
      </c>
      <c r="Q372" s="15" t="str">
        <f t="shared" si="17"/>
        <v>Good</v>
      </c>
      <c r="R372" s="6" t="s">
        <v>21</v>
      </c>
    </row>
    <row r="373" spans="1:18" x14ac:dyDescent="0.3">
      <c r="A373" s="4">
        <v>372</v>
      </c>
      <c r="B373" s="5" t="s">
        <v>407</v>
      </c>
      <c r="C373" s="5">
        <v>45</v>
      </c>
      <c r="D373" s="12" t="str">
        <f t="shared" si="15"/>
        <v>Elder</v>
      </c>
      <c r="E373" s="5" t="s">
        <v>23</v>
      </c>
      <c r="F373" s="5" t="s">
        <v>24</v>
      </c>
      <c r="G373" s="5" t="s">
        <v>25</v>
      </c>
      <c r="H373" s="5" t="s">
        <v>26</v>
      </c>
      <c r="I373" s="5">
        <v>14</v>
      </c>
      <c r="J373" s="12" t="str">
        <f t="shared" si="16"/>
        <v>Senior</v>
      </c>
      <c r="K373" s="5">
        <v>1372</v>
      </c>
      <c r="L373" s="5">
        <v>5372</v>
      </c>
      <c r="M373" s="5">
        <v>29752</v>
      </c>
      <c r="N373" s="5" t="s">
        <v>38</v>
      </c>
      <c r="O373" s="5">
        <v>47</v>
      </c>
      <c r="P373" s="5">
        <v>1</v>
      </c>
      <c r="Q373" s="15" t="str">
        <f t="shared" si="17"/>
        <v>Poor</v>
      </c>
      <c r="R373" s="6" t="s">
        <v>36</v>
      </c>
    </row>
    <row r="374" spans="1:18" x14ac:dyDescent="0.3">
      <c r="A374" s="4">
        <v>373</v>
      </c>
      <c r="B374" s="5" t="s">
        <v>408</v>
      </c>
      <c r="C374" s="5">
        <v>56</v>
      </c>
      <c r="D374" s="12" t="str">
        <f t="shared" si="15"/>
        <v>Senior</v>
      </c>
      <c r="E374" s="5" t="s">
        <v>16</v>
      </c>
      <c r="F374" s="5" t="s">
        <v>45</v>
      </c>
      <c r="G374" s="5" t="s">
        <v>33</v>
      </c>
      <c r="H374" s="5" t="s">
        <v>26</v>
      </c>
      <c r="I374" s="5">
        <v>16</v>
      </c>
      <c r="J374" s="12" t="str">
        <f t="shared" si="16"/>
        <v>Expert</v>
      </c>
      <c r="K374" s="5">
        <v>1373</v>
      </c>
      <c r="L374" s="5">
        <v>5373</v>
      </c>
      <c r="M374" s="5">
        <v>75426</v>
      </c>
      <c r="N374" s="5" t="s">
        <v>30</v>
      </c>
      <c r="O374" s="5">
        <v>81</v>
      </c>
      <c r="P374" s="5">
        <v>3</v>
      </c>
      <c r="Q374" s="15" t="str">
        <f t="shared" si="17"/>
        <v>Good</v>
      </c>
      <c r="R374" s="6" t="s">
        <v>21</v>
      </c>
    </row>
    <row r="375" spans="1:18" x14ac:dyDescent="0.3">
      <c r="A375" s="4">
        <v>374</v>
      </c>
      <c r="B375" s="5" t="s">
        <v>409</v>
      </c>
      <c r="C375" s="5">
        <v>45</v>
      </c>
      <c r="D375" s="12" t="str">
        <f t="shared" si="15"/>
        <v>Elder</v>
      </c>
      <c r="E375" s="5" t="s">
        <v>23</v>
      </c>
      <c r="F375" s="5" t="s">
        <v>24</v>
      </c>
      <c r="G375" s="5" t="s">
        <v>46</v>
      </c>
      <c r="H375" s="5" t="s">
        <v>19</v>
      </c>
      <c r="I375" s="5">
        <v>12</v>
      </c>
      <c r="J375" s="12" t="str">
        <f t="shared" si="16"/>
        <v>Senior</v>
      </c>
      <c r="K375" s="5">
        <v>1374</v>
      </c>
      <c r="L375" s="5">
        <v>5374</v>
      </c>
      <c r="M375" s="5">
        <v>46819</v>
      </c>
      <c r="N375" s="5" t="s">
        <v>38</v>
      </c>
      <c r="O375" s="5">
        <v>92</v>
      </c>
      <c r="P375" s="5">
        <v>1</v>
      </c>
      <c r="Q375" s="15" t="str">
        <f t="shared" si="17"/>
        <v>Poor</v>
      </c>
      <c r="R375" s="6" t="s">
        <v>40</v>
      </c>
    </row>
    <row r="376" spans="1:18" x14ac:dyDescent="0.3">
      <c r="A376" s="4">
        <v>375</v>
      </c>
      <c r="B376" s="5" t="s">
        <v>410</v>
      </c>
      <c r="C376" s="5">
        <v>42</v>
      </c>
      <c r="D376" s="12" t="str">
        <f t="shared" si="15"/>
        <v>Elder</v>
      </c>
      <c r="E376" s="5" t="s">
        <v>16</v>
      </c>
      <c r="F376" s="5" t="s">
        <v>43</v>
      </c>
      <c r="G376" s="5" t="s">
        <v>18</v>
      </c>
      <c r="H376" s="5" t="s">
        <v>19</v>
      </c>
      <c r="I376" s="5">
        <v>18</v>
      </c>
      <c r="J376" s="12" t="str">
        <f t="shared" si="16"/>
        <v>Expert</v>
      </c>
      <c r="K376" s="5">
        <v>1375</v>
      </c>
      <c r="L376" s="5">
        <v>5375</v>
      </c>
      <c r="M376" s="5">
        <v>112051</v>
      </c>
      <c r="N376" s="5" t="s">
        <v>27</v>
      </c>
      <c r="O376" s="5">
        <v>58</v>
      </c>
      <c r="P376" s="5">
        <v>4</v>
      </c>
      <c r="Q376" s="15" t="str">
        <f t="shared" si="17"/>
        <v>Excellent</v>
      </c>
      <c r="R376" s="6" t="s">
        <v>40</v>
      </c>
    </row>
    <row r="377" spans="1:18" x14ac:dyDescent="0.3">
      <c r="A377" s="4">
        <v>376</v>
      </c>
      <c r="B377" s="5" t="s">
        <v>411</v>
      </c>
      <c r="C377" s="5">
        <v>28</v>
      </c>
      <c r="D377" s="12" t="str">
        <f t="shared" si="15"/>
        <v>Young</v>
      </c>
      <c r="E377" s="5" t="s">
        <v>16</v>
      </c>
      <c r="F377" s="5" t="s">
        <v>24</v>
      </c>
      <c r="G377" s="5" t="s">
        <v>33</v>
      </c>
      <c r="H377" s="5" t="s">
        <v>29</v>
      </c>
      <c r="I377" s="5">
        <v>4</v>
      </c>
      <c r="J377" s="12" t="str">
        <f t="shared" si="16"/>
        <v>Junior</v>
      </c>
      <c r="K377" s="5">
        <v>1376</v>
      </c>
      <c r="L377" s="5">
        <v>5376</v>
      </c>
      <c r="M377" s="5">
        <v>44217</v>
      </c>
      <c r="N377" s="5" t="s">
        <v>27</v>
      </c>
      <c r="O377" s="5">
        <v>76</v>
      </c>
      <c r="P377" s="5">
        <v>4</v>
      </c>
      <c r="Q377" s="15" t="str">
        <f t="shared" si="17"/>
        <v>Excellent</v>
      </c>
      <c r="R377" s="6" t="s">
        <v>21</v>
      </c>
    </row>
    <row r="378" spans="1:18" x14ac:dyDescent="0.3">
      <c r="A378" s="4">
        <v>377</v>
      </c>
      <c r="B378" s="5" t="s">
        <v>412</v>
      </c>
      <c r="C378" s="5">
        <v>31</v>
      </c>
      <c r="D378" s="12" t="str">
        <f t="shared" si="15"/>
        <v>Mid Age</v>
      </c>
      <c r="E378" s="5" t="s">
        <v>16</v>
      </c>
      <c r="F378" s="5" t="s">
        <v>45</v>
      </c>
      <c r="G378" s="5" t="s">
        <v>25</v>
      </c>
      <c r="H378" s="5" t="s">
        <v>26</v>
      </c>
      <c r="I378" s="5">
        <v>11</v>
      </c>
      <c r="J378" s="12" t="str">
        <f t="shared" si="16"/>
        <v>Senior</v>
      </c>
      <c r="K378" s="5">
        <v>1377</v>
      </c>
      <c r="L378" s="5">
        <v>5377</v>
      </c>
      <c r="M378" s="5">
        <v>108708</v>
      </c>
      <c r="N378" s="5" t="s">
        <v>27</v>
      </c>
      <c r="O378" s="5">
        <v>27</v>
      </c>
      <c r="P378" s="5">
        <v>3</v>
      </c>
      <c r="Q378" s="15" t="str">
        <f t="shared" si="17"/>
        <v>Good</v>
      </c>
      <c r="R378" s="6" t="s">
        <v>36</v>
      </c>
    </row>
    <row r="379" spans="1:18" x14ac:dyDescent="0.3">
      <c r="A379" s="4">
        <v>378</v>
      </c>
      <c r="B379" s="5" t="s">
        <v>413</v>
      </c>
      <c r="C379" s="5">
        <v>20</v>
      </c>
      <c r="D379" s="12" t="str">
        <f t="shared" si="15"/>
        <v>Young</v>
      </c>
      <c r="E379" s="5" t="s">
        <v>16</v>
      </c>
      <c r="F379" s="5" t="s">
        <v>24</v>
      </c>
      <c r="G379" s="5" t="s">
        <v>25</v>
      </c>
      <c r="H379" s="5" t="s">
        <v>26</v>
      </c>
      <c r="I379" s="5">
        <v>0</v>
      </c>
      <c r="J379" s="12" t="str">
        <f t="shared" si="16"/>
        <v>Beginner</v>
      </c>
      <c r="K379" s="5">
        <v>1378</v>
      </c>
      <c r="L379" s="5">
        <v>5378</v>
      </c>
      <c r="M379" s="5">
        <v>52994</v>
      </c>
      <c r="N379" s="5" t="s">
        <v>27</v>
      </c>
      <c r="O379" s="5">
        <v>53</v>
      </c>
      <c r="P379" s="5">
        <v>1</v>
      </c>
      <c r="Q379" s="15" t="str">
        <f t="shared" si="17"/>
        <v>Poor</v>
      </c>
      <c r="R379" s="6" t="s">
        <v>40</v>
      </c>
    </row>
    <row r="380" spans="1:18" x14ac:dyDescent="0.3">
      <c r="A380" s="4">
        <v>379</v>
      </c>
      <c r="B380" s="5" t="s">
        <v>414</v>
      </c>
      <c r="C380" s="5">
        <v>20</v>
      </c>
      <c r="D380" s="12" t="str">
        <f t="shared" si="15"/>
        <v>Young</v>
      </c>
      <c r="E380" s="5" t="s">
        <v>23</v>
      </c>
      <c r="F380" s="5" t="s">
        <v>17</v>
      </c>
      <c r="G380" s="5" t="s">
        <v>33</v>
      </c>
      <c r="H380" s="5" t="s">
        <v>19</v>
      </c>
      <c r="I380" s="5">
        <v>4</v>
      </c>
      <c r="J380" s="12" t="str">
        <f t="shared" si="16"/>
        <v>Junior</v>
      </c>
      <c r="K380" s="5">
        <v>1379</v>
      </c>
      <c r="L380" s="5">
        <v>5379</v>
      </c>
      <c r="M380" s="5">
        <v>35036</v>
      </c>
      <c r="N380" s="5" t="s">
        <v>27</v>
      </c>
      <c r="O380" s="5">
        <v>42</v>
      </c>
      <c r="P380" s="5">
        <v>3</v>
      </c>
      <c r="Q380" s="15" t="str">
        <f t="shared" si="17"/>
        <v>Good</v>
      </c>
      <c r="R380" s="6" t="s">
        <v>31</v>
      </c>
    </row>
    <row r="381" spans="1:18" x14ac:dyDescent="0.3">
      <c r="A381" s="4">
        <v>380</v>
      </c>
      <c r="B381" s="5" t="s">
        <v>415</v>
      </c>
      <c r="C381" s="5">
        <v>53</v>
      </c>
      <c r="D381" s="12" t="str">
        <f t="shared" si="15"/>
        <v>Senior</v>
      </c>
      <c r="E381" s="5" t="s">
        <v>23</v>
      </c>
      <c r="F381" s="5" t="s">
        <v>43</v>
      </c>
      <c r="G381" s="5" t="s">
        <v>46</v>
      </c>
      <c r="H381" s="5" t="s">
        <v>26</v>
      </c>
      <c r="I381" s="5">
        <v>7</v>
      </c>
      <c r="J381" s="12" t="str">
        <f t="shared" si="16"/>
        <v>Mid-level</v>
      </c>
      <c r="K381" s="5">
        <v>1380</v>
      </c>
      <c r="L381" s="5">
        <v>5380</v>
      </c>
      <c r="M381" s="5">
        <v>97275</v>
      </c>
      <c r="N381" s="5" t="s">
        <v>30</v>
      </c>
      <c r="O381" s="5">
        <v>59</v>
      </c>
      <c r="P381" s="5">
        <v>4</v>
      </c>
      <c r="Q381" s="15" t="str">
        <f t="shared" si="17"/>
        <v>Excellent</v>
      </c>
      <c r="R381" s="6" t="s">
        <v>40</v>
      </c>
    </row>
    <row r="382" spans="1:18" x14ac:dyDescent="0.3">
      <c r="A382" s="4">
        <v>381</v>
      </c>
      <c r="B382" s="5" t="s">
        <v>416</v>
      </c>
      <c r="C382" s="5">
        <v>51</v>
      </c>
      <c r="D382" s="12" t="str">
        <f t="shared" si="15"/>
        <v>Senior</v>
      </c>
      <c r="E382" s="5" t="s">
        <v>23</v>
      </c>
      <c r="F382" s="5" t="s">
        <v>43</v>
      </c>
      <c r="G382" s="5" t="s">
        <v>46</v>
      </c>
      <c r="H382" s="5" t="s">
        <v>26</v>
      </c>
      <c r="I382" s="5">
        <v>12</v>
      </c>
      <c r="J382" s="12" t="str">
        <f t="shared" si="16"/>
        <v>Senior</v>
      </c>
      <c r="K382" s="5">
        <v>1381</v>
      </c>
      <c r="L382" s="5">
        <v>5381</v>
      </c>
      <c r="M382" s="5">
        <v>117756</v>
      </c>
      <c r="N382" s="5" t="s">
        <v>27</v>
      </c>
      <c r="O382" s="5">
        <v>47</v>
      </c>
      <c r="P382" s="5">
        <v>1</v>
      </c>
      <c r="Q382" s="15" t="str">
        <f t="shared" si="17"/>
        <v>Poor</v>
      </c>
      <c r="R382" s="6" t="s">
        <v>31</v>
      </c>
    </row>
    <row r="383" spans="1:18" x14ac:dyDescent="0.3">
      <c r="A383" s="4">
        <v>382</v>
      </c>
      <c r="B383" s="5" t="s">
        <v>417</v>
      </c>
      <c r="C383" s="5">
        <v>44</v>
      </c>
      <c r="D383" s="12" t="str">
        <f t="shared" si="15"/>
        <v>Elder</v>
      </c>
      <c r="E383" s="5" t="s">
        <v>16</v>
      </c>
      <c r="F383" s="5" t="s">
        <v>43</v>
      </c>
      <c r="G383" s="5" t="s">
        <v>25</v>
      </c>
      <c r="H383" s="5" t="s">
        <v>26</v>
      </c>
      <c r="I383" s="5">
        <v>7</v>
      </c>
      <c r="J383" s="12" t="str">
        <f t="shared" si="16"/>
        <v>Mid-level</v>
      </c>
      <c r="K383" s="5">
        <v>1382</v>
      </c>
      <c r="L383" s="5">
        <v>5382</v>
      </c>
      <c r="M383" s="5">
        <v>69416</v>
      </c>
      <c r="N383" s="5" t="s">
        <v>20</v>
      </c>
      <c r="O383" s="5">
        <v>94</v>
      </c>
      <c r="P383" s="5">
        <v>1</v>
      </c>
      <c r="Q383" s="15" t="str">
        <f t="shared" si="17"/>
        <v>Poor</v>
      </c>
      <c r="R383" s="6" t="s">
        <v>36</v>
      </c>
    </row>
    <row r="384" spans="1:18" x14ac:dyDescent="0.3">
      <c r="A384" s="4">
        <v>383</v>
      </c>
      <c r="B384" s="5" t="s">
        <v>418</v>
      </c>
      <c r="C384" s="5">
        <v>59</v>
      </c>
      <c r="D384" s="12" t="str">
        <f t="shared" si="15"/>
        <v>Senior</v>
      </c>
      <c r="E384" s="5" t="s">
        <v>23</v>
      </c>
      <c r="F384" s="5" t="s">
        <v>45</v>
      </c>
      <c r="G384" s="5" t="s">
        <v>25</v>
      </c>
      <c r="H384" s="5" t="s">
        <v>19</v>
      </c>
      <c r="I384" s="5">
        <v>10</v>
      </c>
      <c r="J384" s="12" t="str">
        <f t="shared" si="16"/>
        <v>Mid-level</v>
      </c>
      <c r="K384" s="5">
        <v>1383</v>
      </c>
      <c r="L384" s="5">
        <v>5383</v>
      </c>
      <c r="M384" s="5">
        <v>29587</v>
      </c>
      <c r="N384" s="5" t="s">
        <v>20</v>
      </c>
      <c r="O384" s="5">
        <v>34</v>
      </c>
      <c r="P384" s="5">
        <v>3</v>
      </c>
      <c r="Q384" s="15" t="str">
        <f t="shared" si="17"/>
        <v>Good</v>
      </c>
      <c r="R384" s="6" t="s">
        <v>31</v>
      </c>
    </row>
    <row r="385" spans="1:18" x14ac:dyDescent="0.3">
      <c r="A385" s="4">
        <v>384</v>
      </c>
      <c r="B385" s="5" t="s">
        <v>419</v>
      </c>
      <c r="C385" s="5">
        <v>20</v>
      </c>
      <c r="D385" s="12" t="str">
        <f t="shared" si="15"/>
        <v>Young</v>
      </c>
      <c r="E385" s="5" t="s">
        <v>16</v>
      </c>
      <c r="F385" s="5" t="s">
        <v>43</v>
      </c>
      <c r="G385" s="5" t="s">
        <v>46</v>
      </c>
      <c r="H385" s="5" t="s">
        <v>29</v>
      </c>
      <c r="I385" s="5">
        <v>0</v>
      </c>
      <c r="J385" s="12" t="str">
        <f t="shared" si="16"/>
        <v>Beginner</v>
      </c>
      <c r="K385" s="5">
        <v>1384</v>
      </c>
      <c r="L385" s="5">
        <v>5384</v>
      </c>
      <c r="M385" s="5">
        <v>115665</v>
      </c>
      <c r="N385" s="5" t="s">
        <v>30</v>
      </c>
      <c r="O385" s="5">
        <v>37</v>
      </c>
      <c r="P385" s="5">
        <v>2</v>
      </c>
      <c r="Q385" s="15" t="str">
        <f t="shared" si="17"/>
        <v>Average</v>
      </c>
      <c r="R385" s="6" t="s">
        <v>31</v>
      </c>
    </row>
    <row r="386" spans="1:18" x14ac:dyDescent="0.3">
      <c r="A386" s="4">
        <v>385</v>
      </c>
      <c r="B386" s="5" t="s">
        <v>420</v>
      </c>
      <c r="C386" s="5">
        <v>35</v>
      </c>
      <c r="D386" s="12" t="str">
        <f t="shared" ref="D386:D449" si="18">IF(AND(C386&gt;=20,C386&lt;=30),"Young",IF(AND(C386&gt;30,C386&lt;=40),"Mid Age",IF(AND(C386&gt;40,C386&lt;=50),"Elder",IF(AND(C386&gt;50,C386&lt;=59),"Senior","Other"))))</f>
        <v>Mid Age</v>
      </c>
      <c r="E386" s="5" t="s">
        <v>23</v>
      </c>
      <c r="F386" s="5" t="s">
        <v>17</v>
      </c>
      <c r="G386" s="5" t="s">
        <v>18</v>
      </c>
      <c r="H386" s="5" t="s">
        <v>29</v>
      </c>
      <c r="I386" s="5">
        <v>12</v>
      </c>
      <c r="J386" s="12" t="str">
        <f t="shared" ref="J386:J449" si="19">IF(I386&lt;=2,"Beginner",IF(I386&lt;=5,"Junior",IF(I386&lt;=10,"Mid-level",IF(I386&lt;=15,"Senior","Expert"))))</f>
        <v>Senior</v>
      </c>
      <c r="K386" s="5">
        <v>1385</v>
      </c>
      <c r="L386" s="5">
        <v>5385</v>
      </c>
      <c r="M386" s="5">
        <v>20645</v>
      </c>
      <c r="N386" s="5" t="s">
        <v>38</v>
      </c>
      <c r="O386" s="5">
        <v>6</v>
      </c>
      <c r="P386" s="5">
        <v>3</v>
      </c>
      <c r="Q386" s="15" t="str">
        <f t="shared" ref="Q386:Q449" si="20">IF(P386=1,"Poor",IF(P386=2,"Average",IF(P386=3,"Good",IF(P386=4,"Excellent","Unknown"))))</f>
        <v>Good</v>
      </c>
      <c r="R386" s="6" t="s">
        <v>31</v>
      </c>
    </row>
    <row r="387" spans="1:18" x14ac:dyDescent="0.3">
      <c r="A387" s="4">
        <v>386</v>
      </c>
      <c r="B387" s="5" t="s">
        <v>421</v>
      </c>
      <c r="C387" s="5">
        <v>58</v>
      </c>
      <c r="D387" s="12" t="str">
        <f t="shared" si="18"/>
        <v>Senior</v>
      </c>
      <c r="E387" s="5" t="s">
        <v>16</v>
      </c>
      <c r="F387" s="5" t="s">
        <v>45</v>
      </c>
      <c r="G387" s="5" t="s">
        <v>33</v>
      </c>
      <c r="H387" s="5" t="s">
        <v>26</v>
      </c>
      <c r="I387" s="5">
        <v>18</v>
      </c>
      <c r="J387" s="12" t="str">
        <f t="shared" si="19"/>
        <v>Expert</v>
      </c>
      <c r="K387" s="5">
        <v>1386</v>
      </c>
      <c r="L387" s="5">
        <v>5386</v>
      </c>
      <c r="M387" s="5">
        <v>50930</v>
      </c>
      <c r="N387" s="5" t="s">
        <v>20</v>
      </c>
      <c r="O387" s="5">
        <v>7</v>
      </c>
      <c r="P387" s="5">
        <v>4</v>
      </c>
      <c r="Q387" s="15" t="str">
        <f t="shared" si="20"/>
        <v>Excellent</v>
      </c>
      <c r="R387" s="6" t="s">
        <v>31</v>
      </c>
    </row>
    <row r="388" spans="1:18" x14ac:dyDescent="0.3">
      <c r="A388" s="4">
        <v>387</v>
      </c>
      <c r="B388" s="5" t="s">
        <v>422</v>
      </c>
      <c r="C388" s="5">
        <v>24</v>
      </c>
      <c r="D388" s="12" t="str">
        <f t="shared" si="18"/>
        <v>Young</v>
      </c>
      <c r="E388" s="5" t="s">
        <v>16</v>
      </c>
      <c r="F388" s="5" t="s">
        <v>17</v>
      </c>
      <c r="G388" s="5" t="s">
        <v>25</v>
      </c>
      <c r="H388" s="5" t="s">
        <v>29</v>
      </c>
      <c r="I388" s="5">
        <v>2</v>
      </c>
      <c r="J388" s="12" t="str">
        <f t="shared" si="19"/>
        <v>Beginner</v>
      </c>
      <c r="K388" s="5">
        <v>1387</v>
      </c>
      <c r="L388" s="5">
        <v>5387</v>
      </c>
      <c r="M388" s="5">
        <v>101835</v>
      </c>
      <c r="N388" s="5" t="s">
        <v>38</v>
      </c>
      <c r="O388" s="5">
        <v>96</v>
      </c>
      <c r="P388" s="5">
        <v>4</v>
      </c>
      <c r="Q388" s="15" t="str">
        <f t="shared" si="20"/>
        <v>Excellent</v>
      </c>
      <c r="R388" s="6" t="s">
        <v>40</v>
      </c>
    </row>
    <row r="389" spans="1:18" x14ac:dyDescent="0.3">
      <c r="A389" s="4">
        <v>388</v>
      </c>
      <c r="B389" s="5" t="s">
        <v>423</v>
      </c>
      <c r="C389" s="5">
        <v>41</v>
      </c>
      <c r="D389" s="12" t="str">
        <f t="shared" si="18"/>
        <v>Elder</v>
      </c>
      <c r="E389" s="5" t="s">
        <v>16</v>
      </c>
      <c r="F389" s="5" t="s">
        <v>24</v>
      </c>
      <c r="G389" s="5" t="s">
        <v>25</v>
      </c>
      <c r="H389" s="5" t="s">
        <v>19</v>
      </c>
      <c r="I389" s="5">
        <v>16</v>
      </c>
      <c r="J389" s="12" t="str">
        <f t="shared" si="19"/>
        <v>Expert</v>
      </c>
      <c r="K389" s="5">
        <v>1388</v>
      </c>
      <c r="L389" s="5">
        <v>5388</v>
      </c>
      <c r="M389" s="5">
        <v>50090</v>
      </c>
      <c r="N389" s="5" t="s">
        <v>30</v>
      </c>
      <c r="O389" s="5">
        <v>96</v>
      </c>
      <c r="P389" s="5">
        <v>4</v>
      </c>
      <c r="Q389" s="15" t="str">
        <f t="shared" si="20"/>
        <v>Excellent</v>
      </c>
      <c r="R389" s="6" t="s">
        <v>31</v>
      </c>
    </row>
    <row r="390" spans="1:18" x14ac:dyDescent="0.3">
      <c r="A390" s="4">
        <v>389</v>
      </c>
      <c r="B390" s="5" t="s">
        <v>424</v>
      </c>
      <c r="C390" s="5">
        <v>48</v>
      </c>
      <c r="D390" s="12" t="str">
        <f t="shared" si="18"/>
        <v>Elder</v>
      </c>
      <c r="E390" s="5" t="s">
        <v>23</v>
      </c>
      <c r="F390" s="5" t="s">
        <v>24</v>
      </c>
      <c r="G390" s="5" t="s">
        <v>46</v>
      </c>
      <c r="H390" s="5" t="s">
        <v>19</v>
      </c>
      <c r="I390" s="5">
        <v>4</v>
      </c>
      <c r="J390" s="12" t="str">
        <f t="shared" si="19"/>
        <v>Junior</v>
      </c>
      <c r="K390" s="5">
        <v>1389</v>
      </c>
      <c r="L390" s="5">
        <v>5389</v>
      </c>
      <c r="M390" s="5">
        <v>107489</v>
      </c>
      <c r="N390" s="5" t="s">
        <v>38</v>
      </c>
      <c r="O390" s="5">
        <v>25</v>
      </c>
      <c r="P390" s="5">
        <v>4</v>
      </c>
      <c r="Q390" s="15" t="str">
        <f t="shared" si="20"/>
        <v>Excellent</v>
      </c>
      <c r="R390" s="6" t="s">
        <v>40</v>
      </c>
    </row>
    <row r="391" spans="1:18" x14ac:dyDescent="0.3">
      <c r="A391" s="4">
        <v>390</v>
      </c>
      <c r="B391" s="5" t="s">
        <v>425</v>
      </c>
      <c r="C391" s="5">
        <v>22</v>
      </c>
      <c r="D391" s="12" t="str">
        <f t="shared" si="18"/>
        <v>Young</v>
      </c>
      <c r="E391" s="5" t="s">
        <v>23</v>
      </c>
      <c r="F391" s="5" t="s">
        <v>24</v>
      </c>
      <c r="G391" s="5" t="s">
        <v>33</v>
      </c>
      <c r="H391" s="5" t="s">
        <v>29</v>
      </c>
      <c r="I391" s="5">
        <v>19</v>
      </c>
      <c r="J391" s="12" t="str">
        <f t="shared" si="19"/>
        <v>Expert</v>
      </c>
      <c r="K391" s="5">
        <v>1390</v>
      </c>
      <c r="L391" s="5">
        <v>5390</v>
      </c>
      <c r="M391" s="5">
        <v>72142</v>
      </c>
      <c r="N391" s="5" t="s">
        <v>38</v>
      </c>
      <c r="O391" s="5">
        <v>33</v>
      </c>
      <c r="P391" s="5">
        <v>4</v>
      </c>
      <c r="Q391" s="15" t="str">
        <f t="shared" si="20"/>
        <v>Excellent</v>
      </c>
      <c r="R391" s="6" t="s">
        <v>31</v>
      </c>
    </row>
    <row r="392" spans="1:18" x14ac:dyDescent="0.3">
      <c r="A392" s="4">
        <v>391</v>
      </c>
      <c r="B392" s="5" t="s">
        <v>426</v>
      </c>
      <c r="C392" s="5">
        <v>31</v>
      </c>
      <c r="D392" s="12" t="str">
        <f t="shared" si="18"/>
        <v>Mid Age</v>
      </c>
      <c r="E392" s="5" t="s">
        <v>23</v>
      </c>
      <c r="F392" s="5" t="s">
        <v>24</v>
      </c>
      <c r="G392" s="5" t="s">
        <v>46</v>
      </c>
      <c r="H392" s="5" t="s">
        <v>29</v>
      </c>
      <c r="I392" s="5">
        <v>7</v>
      </c>
      <c r="J392" s="12" t="str">
        <f t="shared" si="19"/>
        <v>Mid-level</v>
      </c>
      <c r="K392" s="5">
        <v>1391</v>
      </c>
      <c r="L392" s="5">
        <v>5391</v>
      </c>
      <c r="M392" s="5">
        <v>46475</v>
      </c>
      <c r="N392" s="5" t="s">
        <v>38</v>
      </c>
      <c r="O392" s="5">
        <v>55</v>
      </c>
      <c r="P392" s="5">
        <v>2</v>
      </c>
      <c r="Q392" s="15" t="str">
        <f t="shared" si="20"/>
        <v>Average</v>
      </c>
      <c r="R392" s="6" t="s">
        <v>21</v>
      </c>
    </row>
    <row r="393" spans="1:18" x14ac:dyDescent="0.3">
      <c r="A393" s="4">
        <v>392</v>
      </c>
      <c r="B393" s="5" t="s">
        <v>427</v>
      </c>
      <c r="C393" s="5">
        <v>45</v>
      </c>
      <c r="D393" s="12" t="str">
        <f t="shared" si="18"/>
        <v>Elder</v>
      </c>
      <c r="E393" s="5" t="s">
        <v>23</v>
      </c>
      <c r="F393" s="5" t="s">
        <v>17</v>
      </c>
      <c r="G393" s="5" t="s">
        <v>33</v>
      </c>
      <c r="H393" s="5" t="s">
        <v>26</v>
      </c>
      <c r="I393" s="5">
        <v>13</v>
      </c>
      <c r="J393" s="12" t="str">
        <f t="shared" si="19"/>
        <v>Senior</v>
      </c>
      <c r="K393" s="5">
        <v>1392</v>
      </c>
      <c r="L393" s="5">
        <v>5392</v>
      </c>
      <c r="M393" s="5">
        <v>38888</v>
      </c>
      <c r="N393" s="5" t="s">
        <v>38</v>
      </c>
      <c r="O393" s="5">
        <v>58</v>
      </c>
      <c r="P393" s="5">
        <v>1</v>
      </c>
      <c r="Q393" s="15" t="str">
        <f t="shared" si="20"/>
        <v>Poor</v>
      </c>
      <c r="R393" s="6" t="s">
        <v>36</v>
      </c>
    </row>
    <row r="394" spans="1:18" x14ac:dyDescent="0.3">
      <c r="A394" s="4">
        <v>393</v>
      </c>
      <c r="B394" s="5" t="s">
        <v>428</v>
      </c>
      <c r="C394" s="5">
        <v>35</v>
      </c>
      <c r="D394" s="12" t="str">
        <f t="shared" si="18"/>
        <v>Mid Age</v>
      </c>
      <c r="E394" s="5" t="s">
        <v>16</v>
      </c>
      <c r="F394" s="5" t="s">
        <v>45</v>
      </c>
      <c r="G394" s="5" t="s">
        <v>33</v>
      </c>
      <c r="H394" s="5" t="s">
        <v>29</v>
      </c>
      <c r="I394" s="5">
        <v>3</v>
      </c>
      <c r="J394" s="12" t="str">
        <f t="shared" si="19"/>
        <v>Junior</v>
      </c>
      <c r="K394" s="5">
        <v>1393</v>
      </c>
      <c r="L394" s="5">
        <v>5393</v>
      </c>
      <c r="M394" s="5">
        <v>63732</v>
      </c>
      <c r="N394" s="5" t="s">
        <v>30</v>
      </c>
      <c r="O394" s="5">
        <v>7</v>
      </c>
      <c r="P394" s="5">
        <v>3</v>
      </c>
      <c r="Q394" s="15" t="str">
        <f t="shared" si="20"/>
        <v>Good</v>
      </c>
      <c r="R394" s="6" t="s">
        <v>31</v>
      </c>
    </row>
    <row r="395" spans="1:18" x14ac:dyDescent="0.3">
      <c r="A395" s="4">
        <v>394</v>
      </c>
      <c r="B395" s="5" t="s">
        <v>429</v>
      </c>
      <c r="C395" s="5">
        <v>56</v>
      </c>
      <c r="D395" s="12" t="str">
        <f t="shared" si="18"/>
        <v>Senior</v>
      </c>
      <c r="E395" s="5" t="s">
        <v>23</v>
      </c>
      <c r="F395" s="5" t="s">
        <v>45</v>
      </c>
      <c r="G395" s="5" t="s">
        <v>33</v>
      </c>
      <c r="H395" s="5" t="s">
        <v>26</v>
      </c>
      <c r="I395" s="5">
        <v>10</v>
      </c>
      <c r="J395" s="12" t="str">
        <f t="shared" si="19"/>
        <v>Mid-level</v>
      </c>
      <c r="K395" s="5">
        <v>1394</v>
      </c>
      <c r="L395" s="5">
        <v>5394</v>
      </c>
      <c r="M395" s="5">
        <v>101623</v>
      </c>
      <c r="N395" s="5" t="s">
        <v>20</v>
      </c>
      <c r="O395" s="5">
        <v>57</v>
      </c>
      <c r="P395" s="5">
        <v>3</v>
      </c>
      <c r="Q395" s="15" t="str">
        <f t="shared" si="20"/>
        <v>Good</v>
      </c>
      <c r="R395" s="6" t="s">
        <v>21</v>
      </c>
    </row>
    <row r="396" spans="1:18" x14ac:dyDescent="0.3">
      <c r="A396" s="4">
        <v>395</v>
      </c>
      <c r="B396" s="5" t="s">
        <v>430</v>
      </c>
      <c r="C396" s="5">
        <v>41</v>
      </c>
      <c r="D396" s="12" t="str">
        <f t="shared" si="18"/>
        <v>Elder</v>
      </c>
      <c r="E396" s="5" t="s">
        <v>23</v>
      </c>
      <c r="F396" s="5" t="s">
        <v>43</v>
      </c>
      <c r="G396" s="5" t="s">
        <v>25</v>
      </c>
      <c r="H396" s="5" t="s">
        <v>26</v>
      </c>
      <c r="I396" s="5">
        <v>19</v>
      </c>
      <c r="J396" s="12" t="str">
        <f t="shared" si="19"/>
        <v>Expert</v>
      </c>
      <c r="K396" s="5">
        <v>1395</v>
      </c>
      <c r="L396" s="5">
        <v>5395</v>
      </c>
      <c r="M396" s="5">
        <v>66305</v>
      </c>
      <c r="N396" s="5" t="s">
        <v>27</v>
      </c>
      <c r="O396" s="5">
        <v>12</v>
      </c>
      <c r="P396" s="5">
        <v>4</v>
      </c>
      <c r="Q396" s="15" t="str">
        <f t="shared" si="20"/>
        <v>Excellent</v>
      </c>
      <c r="R396" s="6" t="s">
        <v>31</v>
      </c>
    </row>
    <row r="397" spans="1:18" x14ac:dyDescent="0.3">
      <c r="A397" s="4">
        <v>396</v>
      </c>
      <c r="B397" s="5" t="s">
        <v>431</v>
      </c>
      <c r="C397" s="5">
        <v>48</v>
      </c>
      <c r="D397" s="12" t="str">
        <f t="shared" si="18"/>
        <v>Elder</v>
      </c>
      <c r="E397" s="5" t="s">
        <v>16</v>
      </c>
      <c r="F397" s="5" t="s">
        <v>17</v>
      </c>
      <c r="G397" s="5" t="s">
        <v>18</v>
      </c>
      <c r="H397" s="5" t="s">
        <v>19</v>
      </c>
      <c r="I397" s="5">
        <v>14</v>
      </c>
      <c r="J397" s="12" t="str">
        <f t="shared" si="19"/>
        <v>Senior</v>
      </c>
      <c r="K397" s="5">
        <v>1396</v>
      </c>
      <c r="L397" s="5">
        <v>5396</v>
      </c>
      <c r="M397" s="5">
        <v>66037</v>
      </c>
      <c r="N397" s="5" t="s">
        <v>38</v>
      </c>
      <c r="O397" s="5">
        <v>16</v>
      </c>
      <c r="P397" s="5">
        <v>3</v>
      </c>
      <c r="Q397" s="15" t="str">
        <f t="shared" si="20"/>
        <v>Good</v>
      </c>
      <c r="R397" s="6" t="s">
        <v>31</v>
      </c>
    </row>
    <row r="398" spans="1:18" x14ac:dyDescent="0.3">
      <c r="A398" s="4">
        <v>397</v>
      </c>
      <c r="B398" s="5" t="s">
        <v>432</v>
      </c>
      <c r="C398" s="5">
        <v>33</v>
      </c>
      <c r="D398" s="12" t="str">
        <f t="shared" si="18"/>
        <v>Mid Age</v>
      </c>
      <c r="E398" s="5" t="s">
        <v>16</v>
      </c>
      <c r="F398" s="5" t="s">
        <v>24</v>
      </c>
      <c r="G398" s="5" t="s">
        <v>46</v>
      </c>
      <c r="H398" s="5" t="s">
        <v>19</v>
      </c>
      <c r="I398" s="5">
        <v>18</v>
      </c>
      <c r="J398" s="12" t="str">
        <f t="shared" si="19"/>
        <v>Expert</v>
      </c>
      <c r="K398" s="5">
        <v>1397</v>
      </c>
      <c r="L398" s="5">
        <v>5397</v>
      </c>
      <c r="M398" s="5">
        <v>29346</v>
      </c>
      <c r="N398" s="5" t="s">
        <v>20</v>
      </c>
      <c r="O398" s="5">
        <v>80</v>
      </c>
      <c r="P398" s="5">
        <v>4</v>
      </c>
      <c r="Q398" s="15" t="str">
        <f t="shared" si="20"/>
        <v>Excellent</v>
      </c>
      <c r="R398" s="6" t="s">
        <v>31</v>
      </c>
    </row>
    <row r="399" spans="1:18" x14ac:dyDescent="0.3">
      <c r="A399" s="4">
        <v>398</v>
      </c>
      <c r="B399" s="5" t="s">
        <v>433</v>
      </c>
      <c r="C399" s="5">
        <v>47</v>
      </c>
      <c r="D399" s="12" t="str">
        <f t="shared" si="18"/>
        <v>Elder</v>
      </c>
      <c r="E399" s="5" t="s">
        <v>16</v>
      </c>
      <c r="F399" s="5" t="s">
        <v>17</v>
      </c>
      <c r="G399" s="5" t="s">
        <v>18</v>
      </c>
      <c r="H399" s="5" t="s">
        <v>19</v>
      </c>
      <c r="I399" s="5">
        <v>6</v>
      </c>
      <c r="J399" s="12" t="str">
        <f t="shared" si="19"/>
        <v>Mid-level</v>
      </c>
      <c r="K399" s="5">
        <v>1398</v>
      </c>
      <c r="L399" s="5">
        <v>5398</v>
      </c>
      <c r="M399" s="5">
        <v>20587</v>
      </c>
      <c r="N399" s="5" t="s">
        <v>20</v>
      </c>
      <c r="O399" s="5">
        <v>43</v>
      </c>
      <c r="P399" s="5">
        <v>2</v>
      </c>
      <c r="Q399" s="15" t="str">
        <f t="shared" si="20"/>
        <v>Average</v>
      </c>
      <c r="R399" s="6" t="s">
        <v>21</v>
      </c>
    </row>
    <row r="400" spans="1:18" x14ac:dyDescent="0.3">
      <c r="A400" s="4">
        <v>399</v>
      </c>
      <c r="B400" s="5" t="s">
        <v>434</v>
      </c>
      <c r="C400" s="5">
        <v>24</v>
      </c>
      <c r="D400" s="12" t="str">
        <f t="shared" si="18"/>
        <v>Young</v>
      </c>
      <c r="E400" s="5" t="s">
        <v>23</v>
      </c>
      <c r="F400" s="5" t="s">
        <v>43</v>
      </c>
      <c r="G400" s="5" t="s">
        <v>46</v>
      </c>
      <c r="H400" s="5" t="s">
        <v>19</v>
      </c>
      <c r="I400" s="5">
        <v>18</v>
      </c>
      <c r="J400" s="12" t="str">
        <f t="shared" si="19"/>
        <v>Expert</v>
      </c>
      <c r="K400" s="5">
        <v>1399</v>
      </c>
      <c r="L400" s="5">
        <v>5399</v>
      </c>
      <c r="M400" s="5">
        <v>32763</v>
      </c>
      <c r="N400" s="5" t="s">
        <v>30</v>
      </c>
      <c r="O400" s="5">
        <v>77</v>
      </c>
      <c r="P400" s="5">
        <v>2</v>
      </c>
      <c r="Q400" s="15" t="str">
        <f t="shared" si="20"/>
        <v>Average</v>
      </c>
      <c r="R400" s="6" t="s">
        <v>36</v>
      </c>
    </row>
    <row r="401" spans="1:18" x14ac:dyDescent="0.3">
      <c r="A401" s="4">
        <v>400</v>
      </c>
      <c r="B401" s="5" t="s">
        <v>435</v>
      </c>
      <c r="C401" s="5">
        <v>49</v>
      </c>
      <c r="D401" s="12" t="str">
        <f t="shared" si="18"/>
        <v>Elder</v>
      </c>
      <c r="E401" s="5" t="s">
        <v>16</v>
      </c>
      <c r="F401" s="5" t="s">
        <v>43</v>
      </c>
      <c r="G401" s="5" t="s">
        <v>33</v>
      </c>
      <c r="H401" s="5" t="s">
        <v>29</v>
      </c>
      <c r="I401" s="5">
        <v>18</v>
      </c>
      <c r="J401" s="12" t="str">
        <f t="shared" si="19"/>
        <v>Expert</v>
      </c>
      <c r="K401" s="5">
        <v>1400</v>
      </c>
      <c r="L401" s="5">
        <v>5400</v>
      </c>
      <c r="M401" s="5">
        <v>79165</v>
      </c>
      <c r="N401" s="5" t="s">
        <v>20</v>
      </c>
      <c r="O401" s="5">
        <v>7</v>
      </c>
      <c r="P401" s="5">
        <v>1</v>
      </c>
      <c r="Q401" s="15" t="str">
        <f t="shared" si="20"/>
        <v>Poor</v>
      </c>
      <c r="R401" s="6" t="s">
        <v>21</v>
      </c>
    </row>
    <row r="402" spans="1:18" x14ac:dyDescent="0.3">
      <c r="A402" s="4">
        <v>401</v>
      </c>
      <c r="B402" s="5" t="s">
        <v>436</v>
      </c>
      <c r="C402" s="5">
        <v>24</v>
      </c>
      <c r="D402" s="12" t="str">
        <f t="shared" si="18"/>
        <v>Young</v>
      </c>
      <c r="E402" s="5" t="s">
        <v>16</v>
      </c>
      <c r="F402" s="5" t="s">
        <v>17</v>
      </c>
      <c r="G402" s="5" t="s">
        <v>25</v>
      </c>
      <c r="H402" s="5" t="s">
        <v>19</v>
      </c>
      <c r="I402" s="5">
        <v>10</v>
      </c>
      <c r="J402" s="12" t="str">
        <f t="shared" si="19"/>
        <v>Mid-level</v>
      </c>
      <c r="K402" s="5">
        <v>1401</v>
      </c>
      <c r="L402" s="5">
        <v>5401</v>
      </c>
      <c r="M402" s="5">
        <v>89615</v>
      </c>
      <c r="N402" s="5" t="s">
        <v>30</v>
      </c>
      <c r="O402" s="5">
        <v>51</v>
      </c>
      <c r="P402" s="5">
        <v>2</v>
      </c>
      <c r="Q402" s="15" t="str">
        <f t="shared" si="20"/>
        <v>Average</v>
      </c>
      <c r="R402" s="6" t="s">
        <v>36</v>
      </c>
    </row>
    <row r="403" spans="1:18" x14ac:dyDescent="0.3">
      <c r="A403" s="4">
        <v>402</v>
      </c>
      <c r="B403" s="5" t="s">
        <v>437</v>
      </c>
      <c r="C403" s="5">
        <v>31</v>
      </c>
      <c r="D403" s="12" t="str">
        <f t="shared" si="18"/>
        <v>Mid Age</v>
      </c>
      <c r="E403" s="5" t="s">
        <v>16</v>
      </c>
      <c r="F403" s="5" t="s">
        <v>17</v>
      </c>
      <c r="G403" s="5" t="s">
        <v>18</v>
      </c>
      <c r="H403" s="5" t="s">
        <v>29</v>
      </c>
      <c r="I403" s="5">
        <v>4</v>
      </c>
      <c r="J403" s="12" t="str">
        <f t="shared" si="19"/>
        <v>Junior</v>
      </c>
      <c r="K403" s="5">
        <v>1402</v>
      </c>
      <c r="L403" s="5">
        <v>5402</v>
      </c>
      <c r="M403" s="5">
        <v>56116</v>
      </c>
      <c r="N403" s="5" t="s">
        <v>38</v>
      </c>
      <c r="O403" s="5">
        <v>73</v>
      </c>
      <c r="P403" s="5">
        <v>2</v>
      </c>
      <c r="Q403" s="15" t="str">
        <f t="shared" si="20"/>
        <v>Average</v>
      </c>
      <c r="R403" s="6" t="s">
        <v>31</v>
      </c>
    </row>
    <row r="404" spans="1:18" x14ac:dyDescent="0.3">
      <c r="A404" s="4">
        <v>403</v>
      </c>
      <c r="B404" s="5" t="s">
        <v>438</v>
      </c>
      <c r="C404" s="5">
        <v>35</v>
      </c>
      <c r="D404" s="12" t="str">
        <f t="shared" si="18"/>
        <v>Mid Age</v>
      </c>
      <c r="E404" s="5" t="s">
        <v>23</v>
      </c>
      <c r="F404" s="5" t="s">
        <v>17</v>
      </c>
      <c r="G404" s="5" t="s">
        <v>25</v>
      </c>
      <c r="H404" s="5" t="s">
        <v>19</v>
      </c>
      <c r="I404" s="5">
        <v>4</v>
      </c>
      <c r="J404" s="12" t="str">
        <f t="shared" si="19"/>
        <v>Junior</v>
      </c>
      <c r="K404" s="5">
        <v>1403</v>
      </c>
      <c r="L404" s="5">
        <v>5403</v>
      </c>
      <c r="M404" s="5">
        <v>105751</v>
      </c>
      <c r="N404" s="5" t="s">
        <v>38</v>
      </c>
      <c r="O404" s="5">
        <v>32</v>
      </c>
      <c r="P404" s="5">
        <v>1</v>
      </c>
      <c r="Q404" s="15" t="str">
        <f t="shared" si="20"/>
        <v>Poor</v>
      </c>
      <c r="R404" s="6" t="s">
        <v>40</v>
      </c>
    </row>
    <row r="405" spans="1:18" x14ac:dyDescent="0.3">
      <c r="A405" s="4">
        <v>404</v>
      </c>
      <c r="B405" s="5" t="s">
        <v>439</v>
      </c>
      <c r="C405" s="5">
        <v>45</v>
      </c>
      <c r="D405" s="12" t="str">
        <f t="shared" si="18"/>
        <v>Elder</v>
      </c>
      <c r="E405" s="5" t="s">
        <v>16</v>
      </c>
      <c r="F405" s="5" t="s">
        <v>45</v>
      </c>
      <c r="G405" s="5" t="s">
        <v>46</v>
      </c>
      <c r="H405" s="5" t="s">
        <v>29</v>
      </c>
      <c r="I405" s="5">
        <v>7</v>
      </c>
      <c r="J405" s="12" t="str">
        <f t="shared" si="19"/>
        <v>Mid-level</v>
      </c>
      <c r="K405" s="5">
        <v>1404</v>
      </c>
      <c r="L405" s="5">
        <v>5404</v>
      </c>
      <c r="M405" s="5">
        <v>111353</v>
      </c>
      <c r="N405" s="5" t="s">
        <v>27</v>
      </c>
      <c r="O405" s="5">
        <v>75</v>
      </c>
      <c r="P405" s="5">
        <v>3</v>
      </c>
      <c r="Q405" s="15" t="str">
        <f t="shared" si="20"/>
        <v>Good</v>
      </c>
      <c r="R405" s="6" t="s">
        <v>31</v>
      </c>
    </row>
    <row r="406" spans="1:18" x14ac:dyDescent="0.3">
      <c r="A406" s="4">
        <v>405</v>
      </c>
      <c r="B406" s="5" t="s">
        <v>440</v>
      </c>
      <c r="C406" s="5">
        <v>45</v>
      </c>
      <c r="D406" s="12" t="str">
        <f t="shared" si="18"/>
        <v>Elder</v>
      </c>
      <c r="E406" s="5" t="s">
        <v>23</v>
      </c>
      <c r="F406" s="5" t="s">
        <v>24</v>
      </c>
      <c r="G406" s="5" t="s">
        <v>25</v>
      </c>
      <c r="H406" s="5" t="s">
        <v>26</v>
      </c>
      <c r="I406" s="5">
        <v>9</v>
      </c>
      <c r="J406" s="12" t="str">
        <f t="shared" si="19"/>
        <v>Mid-level</v>
      </c>
      <c r="K406" s="5">
        <v>1405</v>
      </c>
      <c r="L406" s="5">
        <v>5405</v>
      </c>
      <c r="M406" s="5">
        <v>110301</v>
      </c>
      <c r="N406" s="5" t="s">
        <v>27</v>
      </c>
      <c r="O406" s="5">
        <v>8</v>
      </c>
      <c r="P406" s="5">
        <v>4</v>
      </c>
      <c r="Q406" s="15" t="str">
        <f t="shared" si="20"/>
        <v>Excellent</v>
      </c>
      <c r="R406" s="6" t="s">
        <v>36</v>
      </c>
    </row>
    <row r="407" spans="1:18" x14ac:dyDescent="0.3">
      <c r="A407" s="4">
        <v>406</v>
      </c>
      <c r="B407" s="5" t="s">
        <v>441</v>
      </c>
      <c r="C407" s="5">
        <v>40</v>
      </c>
      <c r="D407" s="12" t="str">
        <f t="shared" si="18"/>
        <v>Mid Age</v>
      </c>
      <c r="E407" s="5" t="s">
        <v>23</v>
      </c>
      <c r="F407" s="5" t="s">
        <v>17</v>
      </c>
      <c r="G407" s="5" t="s">
        <v>25</v>
      </c>
      <c r="H407" s="5" t="s">
        <v>29</v>
      </c>
      <c r="I407" s="5">
        <v>5</v>
      </c>
      <c r="J407" s="12" t="str">
        <f t="shared" si="19"/>
        <v>Junior</v>
      </c>
      <c r="K407" s="5">
        <v>1406</v>
      </c>
      <c r="L407" s="5">
        <v>5406</v>
      </c>
      <c r="M407" s="5">
        <v>115648</v>
      </c>
      <c r="N407" s="5" t="s">
        <v>27</v>
      </c>
      <c r="O407" s="5">
        <v>97</v>
      </c>
      <c r="P407" s="5">
        <v>4</v>
      </c>
      <c r="Q407" s="15" t="str">
        <f t="shared" si="20"/>
        <v>Excellent</v>
      </c>
      <c r="R407" s="6" t="s">
        <v>21</v>
      </c>
    </row>
    <row r="408" spans="1:18" x14ac:dyDescent="0.3">
      <c r="A408" s="4">
        <v>407</v>
      </c>
      <c r="B408" s="5" t="s">
        <v>442</v>
      </c>
      <c r="C408" s="5">
        <v>58</v>
      </c>
      <c r="D408" s="12" t="str">
        <f t="shared" si="18"/>
        <v>Senior</v>
      </c>
      <c r="E408" s="5" t="s">
        <v>16</v>
      </c>
      <c r="F408" s="5" t="s">
        <v>17</v>
      </c>
      <c r="G408" s="5" t="s">
        <v>18</v>
      </c>
      <c r="H408" s="5" t="s">
        <v>29</v>
      </c>
      <c r="I408" s="5">
        <v>14</v>
      </c>
      <c r="J408" s="12" t="str">
        <f t="shared" si="19"/>
        <v>Senior</v>
      </c>
      <c r="K408" s="5">
        <v>1407</v>
      </c>
      <c r="L408" s="5">
        <v>5407</v>
      </c>
      <c r="M408" s="5">
        <v>45556</v>
      </c>
      <c r="N408" s="5" t="s">
        <v>20</v>
      </c>
      <c r="O408" s="5">
        <v>87</v>
      </c>
      <c r="P408" s="5">
        <v>3</v>
      </c>
      <c r="Q408" s="15" t="str">
        <f t="shared" si="20"/>
        <v>Good</v>
      </c>
      <c r="R408" s="6" t="s">
        <v>31</v>
      </c>
    </row>
    <row r="409" spans="1:18" x14ac:dyDescent="0.3">
      <c r="A409" s="4">
        <v>408</v>
      </c>
      <c r="B409" s="5" t="s">
        <v>443</v>
      </c>
      <c r="C409" s="5">
        <v>55</v>
      </c>
      <c r="D409" s="12" t="str">
        <f t="shared" si="18"/>
        <v>Senior</v>
      </c>
      <c r="E409" s="5" t="s">
        <v>16</v>
      </c>
      <c r="F409" s="5" t="s">
        <v>17</v>
      </c>
      <c r="G409" s="5" t="s">
        <v>33</v>
      </c>
      <c r="H409" s="5" t="s">
        <v>19</v>
      </c>
      <c r="I409" s="5">
        <v>15</v>
      </c>
      <c r="J409" s="12" t="str">
        <f t="shared" si="19"/>
        <v>Senior</v>
      </c>
      <c r="K409" s="5">
        <v>1408</v>
      </c>
      <c r="L409" s="5">
        <v>5408</v>
      </c>
      <c r="M409" s="5">
        <v>79042</v>
      </c>
      <c r="N409" s="5" t="s">
        <v>38</v>
      </c>
      <c r="O409" s="5">
        <v>89</v>
      </c>
      <c r="P409" s="5">
        <v>1</v>
      </c>
      <c r="Q409" s="15" t="str">
        <f t="shared" si="20"/>
        <v>Poor</v>
      </c>
      <c r="R409" s="6" t="s">
        <v>21</v>
      </c>
    </row>
    <row r="410" spans="1:18" x14ac:dyDescent="0.3">
      <c r="A410" s="4">
        <v>409</v>
      </c>
      <c r="B410" s="5" t="s">
        <v>444</v>
      </c>
      <c r="C410" s="5">
        <v>52</v>
      </c>
      <c r="D410" s="12" t="str">
        <f t="shared" si="18"/>
        <v>Senior</v>
      </c>
      <c r="E410" s="5" t="s">
        <v>23</v>
      </c>
      <c r="F410" s="5" t="s">
        <v>43</v>
      </c>
      <c r="G410" s="5" t="s">
        <v>25</v>
      </c>
      <c r="H410" s="5" t="s">
        <v>29</v>
      </c>
      <c r="I410" s="5">
        <v>16</v>
      </c>
      <c r="J410" s="12" t="str">
        <f t="shared" si="19"/>
        <v>Expert</v>
      </c>
      <c r="K410" s="5">
        <v>1409</v>
      </c>
      <c r="L410" s="5">
        <v>5409</v>
      </c>
      <c r="M410" s="5">
        <v>38099</v>
      </c>
      <c r="N410" s="5" t="s">
        <v>30</v>
      </c>
      <c r="O410" s="5">
        <v>72</v>
      </c>
      <c r="P410" s="5">
        <v>3</v>
      </c>
      <c r="Q410" s="15" t="str">
        <f t="shared" si="20"/>
        <v>Good</v>
      </c>
      <c r="R410" s="6" t="s">
        <v>21</v>
      </c>
    </row>
    <row r="411" spans="1:18" x14ac:dyDescent="0.3">
      <c r="A411" s="4">
        <v>410</v>
      </c>
      <c r="B411" s="5" t="s">
        <v>445</v>
      </c>
      <c r="C411" s="5">
        <v>49</v>
      </c>
      <c r="D411" s="12" t="str">
        <f t="shared" si="18"/>
        <v>Elder</v>
      </c>
      <c r="E411" s="5" t="s">
        <v>16</v>
      </c>
      <c r="F411" s="5" t="s">
        <v>43</v>
      </c>
      <c r="G411" s="5" t="s">
        <v>33</v>
      </c>
      <c r="H411" s="5" t="s">
        <v>26</v>
      </c>
      <c r="I411" s="5">
        <v>7</v>
      </c>
      <c r="J411" s="12" t="str">
        <f t="shared" si="19"/>
        <v>Mid-level</v>
      </c>
      <c r="K411" s="5">
        <v>1410</v>
      </c>
      <c r="L411" s="5">
        <v>5410</v>
      </c>
      <c r="M411" s="5">
        <v>65096</v>
      </c>
      <c r="N411" s="5" t="s">
        <v>27</v>
      </c>
      <c r="O411" s="5">
        <v>45</v>
      </c>
      <c r="P411" s="5">
        <v>2</v>
      </c>
      <c r="Q411" s="15" t="str">
        <f t="shared" si="20"/>
        <v>Average</v>
      </c>
      <c r="R411" s="6" t="s">
        <v>21</v>
      </c>
    </row>
    <row r="412" spans="1:18" x14ac:dyDescent="0.3">
      <c r="A412" s="4">
        <v>411</v>
      </c>
      <c r="B412" s="5" t="s">
        <v>446</v>
      </c>
      <c r="C412" s="5">
        <v>56</v>
      </c>
      <c r="D412" s="12" t="str">
        <f t="shared" si="18"/>
        <v>Senior</v>
      </c>
      <c r="E412" s="5" t="s">
        <v>16</v>
      </c>
      <c r="F412" s="5" t="s">
        <v>45</v>
      </c>
      <c r="G412" s="5" t="s">
        <v>46</v>
      </c>
      <c r="H412" s="5" t="s">
        <v>26</v>
      </c>
      <c r="I412" s="5">
        <v>7</v>
      </c>
      <c r="J412" s="12" t="str">
        <f t="shared" si="19"/>
        <v>Mid-level</v>
      </c>
      <c r="K412" s="5">
        <v>1411</v>
      </c>
      <c r="L412" s="5">
        <v>5411</v>
      </c>
      <c r="M412" s="5">
        <v>91986</v>
      </c>
      <c r="N412" s="5" t="s">
        <v>30</v>
      </c>
      <c r="O412" s="5">
        <v>86</v>
      </c>
      <c r="P412" s="5">
        <v>1</v>
      </c>
      <c r="Q412" s="15" t="str">
        <f t="shared" si="20"/>
        <v>Poor</v>
      </c>
      <c r="R412" s="6" t="s">
        <v>31</v>
      </c>
    </row>
    <row r="413" spans="1:18" x14ac:dyDescent="0.3">
      <c r="A413" s="4">
        <v>412</v>
      </c>
      <c r="B413" s="5" t="s">
        <v>447</v>
      </c>
      <c r="C413" s="5">
        <v>42</v>
      </c>
      <c r="D413" s="12" t="str">
        <f t="shared" si="18"/>
        <v>Elder</v>
      </c>
      <c r="E413" s="5" t="s">
        <v>23</v>
      </c>
      <c r="F413" s="5" t="s">
        <v>24</v>
      </c>
      <c r="G413" s="5" t="s">
        <v>25</v>
      </c>
      <c r="H413" s="5" t="s">
        <v>19</v>
      </c>
      <c r="I413" s="5">
        <v>8</v>
      </c>
      <c r="J413" s="12" t="str">
        <f t="shared" si="19"/>
        <v>Mid-level</v>
      </c>
      <c r="K413" s="5">
        <v>1412</v>
      </c>
      <c r="L413" s="5">
        <v>5412</v>
      </c>
      <c r="M413" s="5">
        <v>33230</v>
      </c>
      <c r="N413" s="5" t="s">
        <v>30</v>
      </c>
      <c r="O413" s="5">
        <v>59</v>
      </c>
      <c r="P413" s="5">
        <v>1</v>
      </c>
      <c r="Q413" s="15" t="str">
        <f t="shared" si="20"/>
        <v>Poor</v>
      </c>
      <c r="R413" s="6" t="s">
        <v>21</v>
      </c>
    </row>
    <row r="414" spans="1:18" x14ac:dyDescent="0.3">
      <c r="A414" s="4">
        <v>413</v>
      </c>
      <c r="B414" s="5" t="s">
        <v>448</v>
      </c>
      <c r="C414" s="5">
        <v>29</v>
      </c>
      <c r="D414" s="12" t="str">
        <f t="shared" si="18"/>
        <v>Young</v>
      </c>
      <c r="E414" s="5" t="s">
        <v>23</v>
      </c>
      <c r="F414" s="5" t="s">
        <v>45</v>
      </c>
      <c r="G414" s="5" t="s">
        <v>18</v>
      </c>
      <c r="H414" s="5" t="s">
        <v>26</v>
      </c>
      <c r="I414" s="5">
        <v>1</v>
      </c>
      <c r="J414" s="12" t="str">
        <f t="shared" si="19"/>
        <v>Beginner</v>
      </c>
      <c r="K414" s="5">
        <v>1413</v>
      </c>
      <c r="L414" s="5">
        <v>5413</v>
      </c>
      <c r="M414" s="5">
        <v>49009</v>
      </c>
      <c r="N414" s="5" t="s">
        <v>27</v>
      </c>
      <c r="O414" s="5">
        <v>4</v>
      </c>
      <c r="P414" s="5">
        <v>1</v>
      </c>
      <c r="Q414" s="15" t="str">
        <f t="shared" si="20"/>
        <v>Poor</v>
      </c>
      <c r="R414" s="6" t="s">
        <v>21</v>
      </c>
    </row>
    <row r="415" spans="1:18" x14ac:dyDescent="0.3">
      <c r="A415" s="4">
        <v>414</v>
      </c>
      <c r="B415" s="5" t="s">
        <v>449</v>
      </c>
      <c r="C415" s="5">
        <v>24</v>
      </c>
      <c r="D415" s="12" t="str">
        <f t="shared" si="18"/>
        <v>Young</v>
      </c>
      <c r="E415" s="5" t="s">
        <v>16</v>
      </c>
      <c r="F415" s="5" t="s">
        <v>24</v>
      </c>
      <c r="G415" s="5" t="s">
        <v>46</v>
      </c>
      <c r="H415" s="5" t="s">
        <v>29</v>
      </c>
      <c r="I415" s="5">
        <v>14</v>
      </c>
      <c r="J415" s="12" t="str">
        <f t="shared" si="19"/>
        <v>Senior</v>
      </c>
      <c r="K415" s="5">
        <v>1414</v>
      </c>
      <c r="L415" s="5">
        <v>5414</v>
      </c>
      <c r="M415" s="5">
        <v>90969</v>
      </c>
      <c r="N415" s="5" t="s">
        <v>38</v>
      </c>
      <c r="O415" s="5">
        <v>67</v>
      </c>
      <c r="P415" s="5">
        <v>4</v>
      </c>
      <c r="Q415" s="15" t="str">
        <f t="shared" si="20"/>
        <v>Excellent</v>
      </c>
      <c r="R415" s="6" t="s">
        <v>31</v>
      </c>
    </row>
    <row r="416" spans="1:18" x14ac:dyDescent="0.3">
      <c r="A416" s="4">
        <v>415</v>
      </c>
      <c r="B416" s="5" t="s">
        <v>450</v>
      </c>
      <c r="C416" s="5">
        <v>55</v>
      </c>
      <c r="D416" s="12" t="str">
        <f t="shared" si="18"/>
        <v>Senior</v>
      </c>
      <c r="E416" s="5" t="s">
        <v>23</v>
      </c>
      <c r="F416" s="5" t="s">
        <v>43</v>
      </c>
      <c r="G416" s="5" t="s">
        <v>46</v>
      </c>
      <c r="H416" s="5" t="s">
        <v>26</v>
      </c>
      <c r="I416" s="5">
        <v>17</v>
      </c>
      <c r="J416" s="12" t="str">
        <f t="shared" si="19"/>
        <v>Expert</v>
      </c>
      <c r="K416" s="5">
        <v>1415</v>
      </c>
      <c r="L416" s="5">
        <v>5415</v>
      </c>
      <c r="M416" s="5">
        <v>53866</v>
      </c>
      <c r="N416" s="5" t="s">
        <v>27</v>
      </c>
      <c r="O416" s="5">
        <v>29</v>
      </c>
      <c r="P416" s="5">
        <v>3</v>
      </c>
      <c r="Q416" s="15" t="str">
        <f t="shared" si="20"/>
        <v>Good</v>
      </c>
      <c r="R416" s="6" t="s">
        <v>21</v>
      </c>
    </row>
    <row r="417" spans="1:18" x14ac:dyDescent="0.3">
      <c r="A417" s="4">
        <v>416</v>
      </c>
      <c r="B417" s="5" t="s">
        <v>451</v>
      </c>
      <c r="C417" s="5">
        <v>53</v>
      </c>
      <c r="D417" s="12" t="str">
        <f t="shared" si="18"/>
        <v>Senior</v>
      </c>
      <c r="E417" s="5" t="s">
        <v>16</v>
      </c>
      <c r="F417" s="5" t="s">
        <v>43</v>
      </c>
      <c r="G417" s="5" t="s">
        <v>18</v>
      </c>
      <c r="H417" s="5" t="s">
        <v>19</v>
      </c>
      <c r="I417" s="5">
        <v>2</v>
      </c>
      <c r="J417" s="12" t="str">
        <f t="shared" si="19"/>
        <v>Beginner</v>
      </c>
      <c r="K417" s="5">
        <v>1416</v>
      </c>
      <c r="L417" s="5">
        <v>5416</v>
      </c>
      <c r="M417" s="5">
        <v>104246</v>
      </c>
      <c r="N417" s="5" t="s">
        <v>30</v>
      </c>
      <c r="O417" s="5">
        <v>29</v>
      </c>
      <c r="P417" s="5">
        <v>1</v>
      </c>
      <c r="Q417" s="15" t="str">
        <f t="shared" si="20"/>
        <v>Poor</v>
      </c>
      <c r="R417" s="6" t="s">
        <v>31</v>
      </c>
    </row>
    <row r="418" spans="1:18" x14ac:dyDescent="0.3">
      <c r="A418" s="4">
        <v>417</v>
      </c>
      <c r="B418" s="5" t="s">
        <v>452</v>
      </c>
      <c r="C418" s="5">
        <v>50</v>
      </c>
      <c r="D418" s="12" t="str">
        <f t="shared" si="18"/>
        <v>Elder</v>
      </c>
      <c r="E418" s="5" t="s">
        <v>16</v>
      </c>
      <c r="F418" s="5" t="s">
        <v>43</v>
      </c>
      <c r="G418" s="5" t="s">
        <v>25</v>
      </c>
      <c r="H418" s="5" t="s">
        <v>29</v>
      </c>
      <c r="I418" s="5">
        <v>16</v>
      </c>
      <c r="J418" s="12" t="str">
        <f t="shared" si="19"/>
        <v>Expert</v>
      </c>
      <c r="K418" s="5">
        <v>1417</v>
      </c>
      <c r="L418" s="5">
        <v>5417</v>
      </c>
      <c r="M418" s="5">
        <v>96975</v>
      </c>
      <c r="N418" s="5" t="s">
        <v>27</v>
      </c>
      <c r="O418" s="5">
        <v>98</v>
      </c>
      <c r="P418" s="5">
        <v>1</v>
      </c>
      <c r="Q418" s="15" t="str">
        <f t="shared" si="20"/>
        <v>Poor</v>
      </c>
      <c r="R418" s="6" t="s">
        <v>36</v>
      </c>
    </row>
    <row r="419" spans="1:18" x14ac:dyDescent="0.3">
      <c r="A419" s="4">
        <v>418</v>
      </c>
      <c r="B419" s="5" t="s">
        <v>453</v>
      </c>
      <c r="C419" s="5">
        <v>29</v>
      </c>
      <c r="D419" s="12" t="str">
        <f t="shared" si="18"/>
        <v>Young</v>
      </c>
      <c r="E419" s="5" t="s">
        <v>16</v>
      </c>
      <c r="F419" s="5" t="s">
        <v>45</v>
      </c>
      <c r="G419" s="5" t="s">
        <v>25</v>
      </c>
      <c r="H419" s="5" t="s">
        <v>19</v>
      </c>
      <c r="I419" s="5">
        <v>3</v>
      </c>
      <c r="J419" s="12" t="str">
        <f t="shared" si="19"/>
        <v>Junior</v>
      </c>
      <c r="K419" s="5">
        <v>1418</v>
      </c>
      <c r="L419" s="5">
        <v>5418</v>
      </c>
      <c r="M419" s="5">
        <v>61855</v>
      </c>
      <c r="N419" s="5" t="s">
        <v>30</v>
      </c>
      <c r="O419" s="5">
        <v>98</v>
      </c>
      <c r="P419" s="5">
        <v>1</v>
      </c>
      <c r="Q419" s="15" t="str">
        <f t="shared" si="20"/>
        <v>Poor</v>
      </c>
      <c r="R419" s="6" t="s">
        <v>36</v>
      </c>
    </row>
    <row r="420" spans="1:18" x14ac:dyDescent="0.3">
      <c r="A420" s="4">
        <v>419</v>
      </c>
      <c r="B420" s="5" t="s">
        <v>454</v>
      </c>
      <c r="C420" s="5">
        <v>38</v>
      </c>
      <c r="D420" s="12" t="str">
        <f t="shared" si="18"/>
        <v>Mid Age</v>
      </c>
      <c r="E420" s="5" t="s">
        <v>23</v>
      </c>
      <c r="F420" s="5" t="s">
        <v>17</v>
      </c>
      <c r="G420" s="5" t="s">
        <v>46</v>
      </c>
      <c r="H420" s="5" t="s">
        <v>29</v>
      </c>
      <c r="I420" s="5">
        <v>3</v>
      </c>
      <c r="J420" s="12" t="str">
        <f t="shared" si="19"/>
        <v>Junior</v>
      </c>
      <c r="K420" s="5">
        <v>1419</v>
      </c>
      <c r="L420" s="5">
        <v>5419</v>
      </c>
      <c r="M420" s="5">
        <v>101557</v>
      </c>
      <c r="N420" s="5" t="s">
        <v>30</v>
      </c>
      <c r="O420" s="5">
        <v>28</v>
      </c>
      <c r="P420" s="5">
        <v>3</v>
      </c>
      <c r="Q420" s="15" t="str">
        <f t="shared" si="20"/>
        <v>Good</v>
      </c>
      <c r="R420" s="6" t="s">
        <v>36</v>
      </c>
    </row>
    <row r="421" spans="1:18" x14ac:dyDescent="0.3">
      <c r="A421" s="4">
        <v>420</v>
      </c>
      <c r="B421" s="5" t="s">
        <v>455</v>
      </c>
      <c r="C421" s="5">
        <v>51</v>
      </c>
      <c r="D421" s="12" t="str">
        <f t="shared" si="18"/>
        <v>Senior</v>
      </c>
      <c r="E421" s="5" t="s">
        <v>16</v>
      </c>
      <c r="F421" s="5" t="s">
        <v>17</v>
      </c>
      <c r="G421" s="5" t="s">
        <v>25</v>
      </c>
      <c r="H421" s="5" t="s">
        <v>26</v>
      </c>
      <c r="I421" s="5">
        <v>13</v>
      </c>
      <c r="J421" s="12" t="str">
        <f t="shared" si="19"/>
        <v>Senior</v>
      </c>
      <c r="K421" s="5">
        <v>1420</v>
      </c>
      <c r="L421" s="5">
        <v>5420</v>
      </c>
      <c r="M421" s="5">
        <v>26416</v>
      </c>
      <c r="N421" s="5" t="s">
        <v>27</v>
      </c>
      <c r="O421" s="5">
        <v>77</v>
      </c>
      <c r="P421" s="5">
        <v>4</v>
      </c>
      <c r="Q421" s="15" t="str">
        <f t="shared" si="20"/>
        <v>Excellent</v>
      </c>
      <c r="R421" s="6" t="s">
        <v>21</v>
      </c>
    </row>
    <row r="422" spans="1:18" x14ac:dyDescent="0.3">
      <c r="A422" s="4">
        <v>421</v>
      </c>
      <c r="B422" s="5" t="s">
        <v>456</v>
      </c>
      <c r="C422" s="5">
        <v>20</v>
      </c>
      <c r="D422" s="12" t="str">
        <f t="shared" si="18"/>
        <v>Young</v>
      </c>
      <c r="E422" s="5" t="s">
        <v>16</v>
      </c>
      <c r="F422" s="5" t="s">
        <v>43</v>
      </c>
      <c r="G422" s="5" t="s">
        <v>33</v>
      </c>
      <c r="H422" s="5" t="s">
        <v>19</v>
      </c>
      <c r="I422" s="5">
        <v>8</v>
      </c>
      <c r="J422" s="12" t="str">
        <f t="shared" si="19"/>
        <v>Mid-level</v>
      </c>
      <c r="K422" s="5">
        <v>1421</v>
      </c>
      <c r="L422" s="5">
        <v>5421</v>
      </c>
      <c r="M422" s="5">
        <v>92516</v>
      </c>
      <c r="N422" s="5" t="s">
        <v>20</v>
      </c>
      <c r="O422" s="5">
        <v>79</v>
      </c>
      <c r="P422" s="5">
        <v>2</v>
      </c>
      <c r="Q422" s="15" t="str">
        <f t="shared" si="20"/>
        <v>Average</v>
      </c>
      <c r="R422" s="6" t="s">
        <v>40</v>
      </c>
    </row>
    <row r="423" spans="1:18" x14ac:dyDescent="0.3">
      <c r="A423" s="4">
        <v>422</v>
      </c>
      <c r="B423" s="5" t="s">
        <v>457</v>
      </c>
      <c r="C423" s="5">
        <v>24</v>
      </c>
      <c r="D423" s="12" t="str">
        <f t="shared" si="18"/>
        <v>Young</v>
      </c>
      <c r="E423" s="5" t="s">
        <v>16</v>
      </c>
      <c r="F423" s="5" t="s">
        <v>17</v>
      </c>
      <c r="G423" s="5" t="s">
        <v>18</v>
      </c>
      <c r="H423" s="5" t="s">
        <v>19</v>
      </c>
      <c r="I423" s="5">
        <v>8</v>
      </c>
      <c r="J423" s="12" t="str">
        <f t="shared" si="19"/>
        <v>Mid-level</v>
      </c>
      <c r="K423" s="5">
        <v>1422</v>
      </c>
      <c r="L423" s="5">
        <v>5422</v>
      </c>
      <c r="M423" s="5">
        <v>75915</v>
      </c>
      <c r="N423" s="5" t="s">
        <v>27</v>
      </c>
      <c r="O423" s="5">
        <v>87</v>
      </c>
      <c r="P423" s="5">
        <v>4</v>
      </c>
      <c r="Q423" s="15" t="str">
        <f t="shared" si="20"/>
        <v>Excellent</v>
      </c>
      <c r="R423" s="6" t="s">
        <v>40</v>
      </c>
    </row>
    <row r="424" spans="1:18" x14ac:dyDescent="0.3">
      <c r="A424" s="4">
        <v>423</v>
      </c>
      <c r="B424" s="5" t="s">
        <v>458</v>
      </c>
      <c r="C424" s="5">
        <v>23</v>
      </c>
      <c r="D424" s="12" t="str">
        <f t="shared" si="18"/>
        <v>Young</v>
      </c>
      <c r="E424" s="5" t="s">
        <v>23</v>
      </c>
      <c r="F424" s="5" t="s">
        <v>17</v>
      </c>
      <c r="G424" s="5" t="s">
        <v>33</v>
      </c>
      <c r="H424" s="5" t="s">
        <v>29</v>
      </c>
      <c r="I424" s="5">
        <v>17</v>
      </c>
      <c r="J424" s="12" t="str">
        <f t="shared" si="19"/>
        <v>Expert</v>
      </c>
      <c r="K424" s="5">
        <v>1423</v>
      </c>
      <c r="L424" s="5">
        <v>5423</v>
      </c>
      <c r="M424" s="5">
        <v>38058</v>
      </c>
      <c r="N424" s="5" t="s">
        <v>20</v>
      </c>
      <c r="O424" s="5">
        <v>44</v>
      </c>
      <c r="P424" s="5">
        <v>1</v>
      </c>
      <c r="Q424" s="15" t="str">
        <f t="shared" si="20"/>
        <v>Poor</v>
      </c>
      <c r="R424" s="6" t="s">
        <v>21</v>
      </c>
    </row>
    <row r="425" spans="1:18" x14ac:dyDescent="0.3">
      <c r="A425" s="4">
        <v>424</v>
      </c>
      <c r="B425" s="5" t="s">
        <v>459</v>
      </c>
      <c r="C425" s="5">
        <v>35</v>
      </c>
      <c r="D425" s="12" t="str">
        <f t="shared" si="18"/>
        <v>Mid Age</v>
      </c>
      <c r="E425" s="5" t="s">
        <v>23</v>
      </c>
      <c r="F425" s="5" t="s">
        <v>45</v>
      </c>
      <c r="G425" s="5" t="s">
        <v>25</v>
      </c>
      <c r="H425" s="5" t="s">
        <v>19</v>
      </c>
      <c r="I425" s="5">
        <v>9</v>
      </c>
      <c r="J425" s="12" t="str">
        <f t="shared" si="19"/>
        <v>Mid-level</v>
      </c>
      <c r="K425" s="5">
        <v>1424</v>
      </c>
      <c r="L425" s="5">
        <v>5424</v>
      </c>
      <c r="M425" s="5">
        <v>96637</v>
      </c>
      <c r="N425" s="5" t="s">
        <v>30</v>
      </c>
      <c r="O425" s="5">
        <v>90</v>
      </c>
      <c r="P425" s="5">
        <v>4</v>
      </c>
      <c r="Q425" s="15" t="str">
        <f t="shared" si="20"/>
        <v>Excellent</v>
      </c>
      <c r="R425" s="6" t="s">
        <v>40</v>
      </c>
    </row>
    <row r="426" spans="1:18" x14ac:dyDescent="0.3">
      <c r="A426" s="4">
        <v>425</v>
      </c>
      <c r="B426" s="5" t="s">
        <v>460</v>
      </c>
      <c r="C426" s="5">
        <v>43</v>
      </c>
      <c r="D426" s="12" t="str">
        <f t="shared" si="18"/>
        <v>Elder</v>
      </c>
      <c r="E426" s="5" t="s">
        <v>23</v>
      </c>
      <c r="F426" s="5" t="s">
        <v>24</v>
      </c>
      <c r="G426" s="5" t="s">
        <v>46</v>
      </c>
      <c r="H426" s="5" t="s">
        <v>29</v>
      </c>
      <c r="I426" s="5">
        <v>3</v>
      </c>
      <c r="J426" s="12" t="str">
        <f t="shared" si="19"/>
        <v>Junior</v>
      </c>
      <c r="K426" s="5">
        <v>1425</v>
      </c>
      <c r="L426" s="5">
        <v>5425</v>
      </c>
      <c r="M426" s="5">
        <v>60718</v>
      </c>
      <c r="N426" s="5" t="s">
        <v>30</v>
      </c>
      <c r="O426" s="5">
        <v>4</v>
      </c>
      <c r="P426" s="5">
        <v>4</v>
      </c>
      <c r="Q426" s="15" t="str">
        <f t="shared" si="20"/>
        <v>Excellent</v>
      </c>
      <c r="R426" s="6" t="s">
        <v>31</v>
      </c>
    </row>
    <row r="427" spans="1:18" x14ac:dyDescent="0.3">
      <c r="A427" s="4">
        <v>426</v>
      </c>
      <c r="B427" s="5" t="s">
        <v>461</v>
      </c>
      <c r="C427" s="5">
        <v>35</v>
      </c>
      <c r="D427" s="12" t="str">
        <f t="shared" si="18"/>
        <v>Mid Age</v>
      </c>
      <c r="E427" s="5" t="s">
        <v>23</v>
      </c>
      <c r="F427" s="5" t="s">
        <v>43</v>
      </c>
      <c r="G427" s="5" t="s">
        <v>18</v>
      </c>
      <c r="H427" s="5" t="s">
        <v>29</v>
      </c>
      <c r="I427" s="5">
        <v>11</v>
      </c>
      <c r="J427" s="12" t="str">
        <f t="shared" si="19"/>
        <v>Senior</v>
      </c>
      <c r="K427" s="5">
        <v>1426</v>
      </c>
      <c r="L427" s="5">
        <v>5426</v>
      </c>
      <c r="M427" s="5">
        <v>52602</v>
      </c>
      <c r="N427" s="5" t="s">
        <v>20</v>
      </c>
      <c r="O427" s="5">
        <v>90</v>
      </c>
      <c r="P427" s="5">
        <v>2</v>
      </c>
      <c r="Q427" s="15" t="str">
        <f t="shared" si="20"/>
        <v>Average</v>
      </c>
      <c r="R427" s="6" t="s">
        <v>40</v>
      </c>
    </row>
    <row r="428" spans="1:18" x14ac:dyDescent="0.3">
      <c r="A428" s="4">
        <v>427</v>
      </c>
      <c r="B428" s="5" t="s">
        <v>462</v>
      </c>
      <c r="C428" s="5">
        <v>21</v>
      </c>
      <c r="D428" s="12" t="str">
        <f t="shared" si="18"/>
        <v>Young</v>
      </c>
      <c r="E428" s="5" t="s">
        <v>23</v>
      </c>
      <c r="F428" s="5" t="s">
        <v>43</v>
      </c>
      <c r="G428" s="5" t="s">
        <v>25</v>
      </c>
      <c r="H428" s="5" t="s">
        <v>29</v>
      </c>
      <c r="I428" s="5">
        <v>7</v>
      </c>
      <c r="J428" s="12" t="str">
        <f t="shared" si="19"/>
        <v>Mid-level</v>
      </c>
      <c r="K428" s="5">
        <v>1427</v>
      </c>
      <c r="L428" s="5">
        <v>5427</v>
      </c>
      <c r="M428" s="5">
        <v>94658</v>
      </c>
      <c r="N428" s="5" t="s">
        <v>30</v>
      </c>
      <c r="O428" s="5">
        <v>9</v>
      </c>
      <c r="P428" s="5">
        <v>3</v>
      </c>
      <c r="Q428" s="15" t="str">
        <f t="shared" si="20"/>
        <v>Good</v>
      </c>
      <c r="R428" s="6" t="s">
        <v>21</v>
      </c>
    </row>
    <row r="429" spans="1:18" x14ac:dyDescent="0.3">
      <c r="A429" s="4">
        <v>428</v>
      </c>
      <c r="B429" s="5" t="s">
        <v>463</v>
      </c>
      <c r="C429" s="5">
        <v>47</v>
      </c>
      <c r="D429" s="12" t="str">
        <f t="shared" si="18"/>
        <v>Elder</v>
      </c>
      <c r="E429" s="5" t="s">
        <v>16</v>
      </c>
      <c r="F429" s="5" t="s">
        <v>45</v>
      </c>
      <c r="G429" s="5" t="s">
        <v>25</v>
      </c>
      <c r="H429" s="5" t="s">
        <v>29</v>
      </c>
      <c r="I429" s="5">
        <v>1</v>
      </c>
      <c r="J429" s="12" t="str">
        <f t="shared" si="19"/>
        <v>Beginner</v>
      </c>
      <c r="K429" s="5">
        <v>1428</v>
      </c>
      <c r="L429" s="5">
        <v>5428</v>
      </c>
      <c r="M429" s="5">
        <v>98112</v>
      </c>
      <c r="N429" s="5" t="s">
        <v>20</v>
      </c>
      <c r="O429" s="5">
        <v>5</v>
      </c>
      <c r="P429" s="5">
        <v>3</v>
      </c>
      <c r="Q429" s="15" t="str">
        <f t="shared" si="20"/>
        <v>Good</v>
      </c>
      <c r="R429" s="6" t="s">
        <v>21</v>
      </c>
    </row>
    <row r="430" spans="1:18" x14ac:dyDescent="0.3">
      <c r="A430" s="4">
        <v>429</v>
      </c>
      <c r="B430" s="5" t="s">
        <v>464</v>
      </c>
      <c r="C430" s="5">
        <v>51</v>
      </c>
      <c r="D430" s="12" t="str">
        <f t="shared" si="18"/>
        <v>Senior</v>
      </c>
      <c r="E430" s="5" t="s">
        <v>23</v>
      </c>
      <c r="F430" s="5" t="s">
        <v>45</v>
      </c>
      <c r="G430" s="5" t="s">
        <v>46</v>
      </c>
      <c r="H430" s="5" t="s">
        <v>26</v>
      </c>
      <c r="I430" s="5">
        <v>12</v>
      </c>
      <c r="J430" s="12" t="str">
        <f t="shared" si="19"/>
        <v>Senior</v>
      </c>
      <c r="K430" s="5">
        <v>1429</v>
      </c>
      <c r="L430" s="5">
        <v>5429</v>
      </c>
      <c r="M430" s="5">
        <v>78067</v>
      </c>
      <c r="N430" s="5" t="s">
        <v>20</v>
      </c>
      <c r="O430" s="5">
        <v>56</v>
      </c>
      <c r="P430" s="5">
        <v>4</v>
      </c>
      <c r="Q430" s="15" t="str">
        <f t="shared" si="20"/>
        <v>Excellent</v>
      </c>
      <c r="R430" s="6" t="s">
        <v>31</v>
      </c>
    </row>
    <row r="431" spans="1:18" x14ac:dyDescent="0.3">
      <c r="A431" s="4">
        <v>430</v>
      </c>
      <c r="B431" s="5" t="s">
        <v>465</v>
      </c>
      <c r="C431" s="5">
        <v>46</v>
      </c>
      <c r="D431" s="12" t="str">
        <f t="shared" si="18"/>
        <v>Elder</v>
      </c>
      <c r="E431" s="5" t="s">
        <v>23</v>
      </c>
      <c r="F431" s="5" t="s">
        <v>17</v>
      </c>
      <c r="G431" s="5" t="s">
        <v>46</v>
      </c>
      <c r="H431" s="5" t="s">
        <v>29</v>
      </c>
      <c r="I431" s="5">
        <v>15</v>
      </c>
      <c r="J431" s="12" t="str">
        <f t="shared" si="19"/>
        <v>Senior</v>
      </c>
      <c r="K431" s="5">
        <v>1430</v>
      </c>
      <c r="L431" s="5">
        <v>5430</v>
      </c>
      <c r="M431" s="5">
        <v>47516</v>
      </c>
      <c r="N431" s="5" t="s">
        <v>30</v>
      </c>
      <c r="O431" s="5">
        <v>96</v>
      </c>
      <c r="P431" s="5">
        <v>4</v>
      </c>
      <c r="Q431" s="15" t="str">
        <f t="shared" si="20"/>
        <v>Excellent</v>
      </c>
      <c r="R431" s="6" t="s">
        <v>36</v>
      </c>
    </row>
    <row r="432" spans="1:18" x14ac:dyDescent="0.3">
      <c r="A432" s="4">
        <v>431</v>
      </c>
      <c r="B432" s="5" t="s">
        <v>466</v>
      </c>
      <c r="C432" s="5">
        <v>39</v>
      </c>
      <c r="D432" s="12" t="str">
        <f t="shared" si="18"/>
        <v>Mid Age</v>
      </c>
      <c r="E432" s="5" t="s">
        <v>23</v>
      </c>
      <c r="F432" s="5" t="s">
        <v>43</v>
      </c>
      <c r="G432" s="5" t="s">
        <v>33</v>
      </c>
      <c r="H432" s="5" t="s">
        <v>19</v>
      </c>
      <c r="I432" s="5">
        <v>1</v>
      </c>
      <c r="J432" s="12" t="str">
        <f t="shared" si="19"/>
        <v>Beginner</v>
      </c>
      <c r="K432" s="5">
        <v>1431</v>
      </c>
      <c r="L432" s="5">
        <v>5431</v>
      </c>
      <c r="M432" s="5">
        <v>107969</v>
      </c>
      <c r="N432" s="5" t="s">
        <v>38</v>
      </c>
      <c r="O432" s="5">
        <v>84</v>
      </c>
      <c r="P432" s="5">
        <v>3</v>
      </c>
      <c r="Q432" s="15" t="str">
        <f t="shared" si="20"/>
        <v>Good</v>
      </c>
      <c r="R432" s="6" t="s">
        <v>21</v>
      </c>
    </row>
    <row r="433" spans="1:18" x14ac:dyDescent="0.3">
      <c r="A433" s="4">
        <v>432</v>
      </c>
      <c r="B433" s="5" t="s">
        <v>467</v>
      </c>
      <c r="C433" s="5">
        <v>43</v>
      </c>
      <c r="D433" s="12" t="str">
        <f t="shared" si="18"/>
        <v>Elder</v>
      </c>
      <c r="E433" s="5" t="s">
        <v>16</v>
      </c>
      <c r="F433" s="5" t="s">
        <v>24</v>
      </c>
      <c r="G433" s="5" t="s">
        <v>18</v>
      </c>
      <c r="H433" s="5" t="s">
        <v>26</v>
      </c>
      <c r="I433" s="5">
        <v>10</v>
      </c>
      <c r="J433" s="12" t="str">
        <f t="shared" si="19"/>
        <v>Mid-level</v>
      </c>
      <c r="K433" s="5">
        <v>1432</v>
      </c>
      <c r="L433" s="5">
        <v>5432</v>
      </c>
      <c r="M433" s="5">
        <v>21089</v>
      </c>
      <c r="N433" s="5" t="s">
        <v>20</v>
      </c>
      <c r="O433" s="5">
        <v>50</v>
      </c>
      <c r="P433" s="5">
        <v>3</v>
      </c>
      <c r="Q433" s="15" t="str">
        <f t="shared" si="20"/>
        <v>Good</v>
      </c>
      <c r="R433" s="6" t="s">
        <v>31</v>
      </c>
    </row>
    <row r="434" spans="1:18" x14ac:dyDescent="0.3">
      <c r="A434" s="4">
        <v>433</v>
      </c>
      <c r="B434" s="5" t="s">
        <v>468</v>
      </c>
      <c r="C434" s="5">
        <v>31</v>
      </c>
      <c r="D434" s="12" t="str">
        <f t="shared" si="18"/>
        <v>Mid Age</v>
      </c>
      <c r="E434" s="5" t="s">
        <v>23</v>
      </c>
      <c r="F434" s="5" t="s">
        <v>45</v>
      </c>
      <c r="G434" s="5" t="s">
        <v>18</v>
      </c>
      <c r="H434" s="5" t="s">
        <v>19</v>
      </c>
      <c r="I434" s="5">
        <v>9</v>
      </c>
      <c r="J434" s="12" t="str">
        <f t="shared" si="19"/>
        <v>Mid-level</v>
      </c>
      <c r="K434" s="5">
        <v>1433</v>
      </c>
      <c r="L434" s="5">
        <v>5433</v>
      </c>
      <c r="M434" s="5">
        <v>57346</v>
      </c>
      <c r="N434" s="5" t="s">
        <v>27</v>
      </c>
      <c r="O434" s="5">
        <v>75</v>
      </c>
      <c r="P434" s="5">
        <v>2</v>
      </c>
      <c r="Q434" s="15" t="str">
        <f t="shared" si="20"/>
        <v>Average</v>
      </c>
      <c r="R434" s="6" t="s">
        <v>40</v>
      </c>
    </row>
    <row r="435" spans="1:18" x14ac:dyDescent="0.3">
      <c r="A435" s="4">
        <v>434</v>
      </c>
      <c r="B435" s="5" t="s">
        <v>469</v>
      </c>
      <c r="C435" s="5">
        <v>54</v>
      </c>
      <c r="D435" s="12" t="str">
        <f t="shared" si="18"/>
        <v>Senior</v>
      </c>
      <c r="E435" s="5" t="s">
        <v>23</v>
      </c>
      <c r="F435" s="5" t="s">
        <v>24</v>
      </c>
      <c r="G435" s="5" t="s">
        <v>46</v>
      </c>
      <c r="H435" s="5" t="s">
        <v>26</v>
      </c>
      <c r="I435" s="5">
        <v>14</v>
      </c>
      <c r="J435" s="12" t="str">
        <f t="shared" si="19"/>
        <v>Senior</v>
      </c>
      <c r="K435" s="5">
        <v>1434</v>
      </c>
      <c r="L435" s="5">
        <v>5434</v>
      </c>
      <c r="M435" s="5">
        <v>94663</v>
      </c>
      <c r="N435" s="5" t="s">
        <v>27</v>
      </c>
      <c r="O435" s="5">
        <v>15</v>
      </c>
      <c r="P435" s="5">
        <v>1</v>
      </c>
      <c r="Q435" s="15" t="str">
        <f t="shared" si="20"/>
        <v>Poor</v>
      </c>
      <c r="R435" s="6" t="s">
        <v>40</v>
      </c>
    </row>
    <row r="436" spans="1:18" x14ac:dyDescent="0.3">
      <c r="A436" s="4">
        <v>435</v>
      </c>
      <c r="B436" s="5" t="s">
        <v>470</v>
      </c>
      <c r="C436" s="5">
        <v>52</v>
      </c>
      <c r="D436" s="12" t="str">
        <f t="shared" si="18"/>
        <v>Senior</v>
      </c>
      <c r="E436" s="5" t="s">
        <v>16</v>
      </c>
      <c r="F436" s="5" t="s">
        <v>24</v>
      </c>
      <c r="G436" s="5" t="s">
        <v>33</v>
      </c>
      <c r="H436" s="5" t="s">
        <v>29</v>
      </c>
      <c r="I436" s="5">
        <v>16</v>
      </c>
      <c r="J436" s="12" t="str">
        <f t="shared" si="19"/>
        <v>Expert</v>
      </c>
      <c r="K436" s="5">
        <v>1435</v>
      </c>
      <c r="L436" s="5">
        <v>5435</v>
      </c>
      <c r="M436" s="5">
        <v>30487</v>
      </c>
      <c r="N436" s="5" t="s">
        <v>30</v>
      </c>
      <c r="O436" s="5">
        <v>32</v>
      </c>
      <c r="P436" s="5">
        <v>4</v>
      </c>
      <c r="Q436" s="15" t="str">
        <f t="shared" si="20"/>
        <v>Excellent</v>
      </c>
      <c r="R436" s="6" t="s">
        <v>31</v>
      </c>
    </row>
    <row r="437" spans="1:18" x14ac:dyDescent="0.3">
      <c r="A437" s="4">
        <v>436</v>
      </c>
      <c r="B437" s="5" t="s">
        <v>471</v>
      </c>
      <c r="C437" s="5">
        <v>52</v>
      </c>
      <c r="D437" s="12" t="str">
        <f t="shared" si="18"/>
        <v>Senior</v>
      </c>
      <c r="E437" s="5" t="s">
        <v>23</v>
      </c>
      <c r="F437" s="5" t="s">
        <v>43</v>
      </c>
      <c r="G437" s="5" t="s">
        <v>18</v>
      </c>
      <c r="H437" s="5" t="s">
        <v>26</v>
      </c>
      <c r="I437" s="5">
        <v>7</v>
      </c>
      <c r="J437" s="12" t="str">
        <f t="shared" si="19"/>
        <v>Mid-level</v>
      </c>
      <c r="K437" s="5">
        <v>1436</v>
      </c>
      <c r="L437" s="5">
        <v>5436</v>
      </c>
      <c r="M437" s="5">
        <v>20155</v>
      </c>
      <c r="N437" s="5" t="s">
        <v>38</v>
      </c>
      <c r="O437" s="5">
        <v>28</v>
      </c>
      <c r="P437" s="5">
        <v>3</v>
      </c>
      <c r="Q437" s="15" t="str">
        <f t="shared" si="20"/>
        <v>Good</v>
      </c>
      <c r="R437" s="6" t="s">
        <v>31</v>
      </c>
    </row>
    <row r="438" spans="1:18" x14ac:dyDescent="0.3">
      <c r="A438" s="4">
        <v>437</v>
      </c>
      <c r="B438" s="5" t="s">
        <v>472</v>
      </c>
      <c r="C438" s="5">
        <v>56</v>
      </c>
      <c r="D438" s="12" t="str">
        <f t="shared" si="18"/>
        <v>Senior</v>
      </c>
      <c r="E438" s="5" t="s">
        <v>16</v>
      </c>
      <c r="F438" s="5" t="s">
        <v>43</v>
      </c>
      <c r="G438" s="5" t="s">
        <v>46</v>
      </c>
      <c r="H438" s="5" t="s">
        <v>26</v>
      </c>
      <c r="I438" s="5">
        <v>17</v>
      </c>
      <c r="J438" s="12" t="str">
        <f t="shared" si="19"/>
        <v>Expert</v>
      </c>
      <c r="K438" s="5">
        <v>1437</v>
      </c>
      <c r="L438" s="5">
        <v>5437</v>
      </c>
      <c r="M438" s="5">
        <v>87494</v>
      </c>
      <c r="N438" s="5" t="s">
        <v>30</v>
      </c>
      <c r="O438" s="5">
        <v>22</v>
      </c>
      <c r="P438" s="5">
        <v>4</v>
      </c>
      <c r="Q438" s="15" t="str">
        <f t="shared" si="20"/>
        <v>Excellent</v>
      </c>
      <c r="R438" s="6" t="s">
        <v>21</v>
      </c>
    </row>
    <row r="439" spans="1:18" x14ac:dyDescent="0.3">
      <c r="A439" s="4">
        <v>438</v>
      </c>
      <c r="B439" s="5" t="s">
        <v>473</v>
      </c>
      <c r="C439" s="5">
        <v>31</v>
      </c>
      <c r="D439" s="12" t="str">
        <f t="shared" si="18"/>
        <v>Mid Age</v>
      </c>
      <c r="E439" s="5" t="s">
        <v>16</v>
      </c>
      <c r="F439" s="5" t="s">
        <v>45</v>
      </c>
      <c r="G439" s="5" t="s">
        <v>25</v>
      </c>
      <c r="H439" s="5" t="s">
        <v>19</v>
      </c>
      <c r="I439" s="5">
        <v>8</v>
      </c>
      <c r="J439" s="12" t="str">
        <f t="shared" si="19"/>
        <v>Mid-level</v>
      </c>
      <c r="K439" s="5">
        <v>1438</v>
      </c>
      <c r="L439" s="5">
        <v>5438</v>
      </c>
      <c r="M439" s="5">
        <v>96229</v>
      </c>
      <c r="N439" s="5" t="s">
        <v>38</v>
      </c>
      <c r="O439" s="5">
        <v>17</v>
      </c>
      <c r="P439" s="5">
        <v>4</v>
      </c>
      <c r="Q439" s="15" t="str">
        <f t="shared" si="20"/>
        <v>Excellent</v>
      </c>
      <c r="R439" s="6" t="s">
        <v>40</v>
      </c>
    </row>
    <row r="440" spans="1:18" x14ac:dyDescent="0.3">
      <c r="A440" s="4">
        <v>439</v>
      </c>
      <c r="B440" s="5" t="s">
        <v>474</v>
      </c>
      <c r="C440" s="5">
        <v>22</v>
      </c>
      <c r="D440" s="12" t="str">
        <f t="shared" si="18"/>
        <v>Young</v>
      </c>
      <c r="E440" s="5" t="s">
        <v>16</v>
      </c>
      <c r="F440" s="5" t="s">
        <v>43</v>
      </c>
      <c r="G440" s="5" t="s">
        <v>18</v>
      </c>
      <c r="H440" s="5" t="s">
        <v>19</v>
      </c>
      <c r="I440" s="5">
        <v>7</v>
      </c>
      <c r="J440" s="12" t="str">
        <f t="shared" si="19"/>
        <v>Mid-level</v>
      </c>
      <c r="K440" s="5">
        <v>1439</v>
      </c>
      <c r="L440" s="5">
        <v>5439</v>
      </c>
      <c r="M440" s="5">
        <v>58547</v>
      </c>
      <c r="N440" s="5" t="s">
        <v>20</v>
      </c>
      <c r="O440" s="5">
        <v>59</v>
      </c>
      <c r="P440" s="5">
        <v>3</v>
      </c>
      <c r="Q440" s="15" t="str">
        <f t="shared" si="20"/>
        <v>Good</v>
      </c>
      <c r="R440" s="6" t="s">
        <v>31</v>
      </c>
    </row>
    <row r="441" spans="1:18" x14ac:dyDescent="0.3">
      <c r="A441" s="4">
        <v>440</v>
      </c>
      <c r="B441" s="5" t="s">
        <v>475</v>
      </c>
      <c r="C441" s="5">
        <v>20</v>
      </c>
      <c r="D441" s="12" t="str">
        <f t="shared" si="18"/>
        <v>Young</v>
      </c>
      <c r="E441" s="5" t="s">
        <v>16</v>
      </c>
      <c r="F441" s="5" t="s">
        <v>43</v>
      </c>
      <c r="G441" s="5" t="s">
        <v>33</v>
      </c>
      <c r="H441" s="5" t="s">
        <v>29</v>
      </c>
      <c r="I441" s="5">
        <v>13</v>
      </c>
      <c r="J441" s="12" t="str">
        <f t="shared" si="19"/>
        <v>Senior</v>
      </c>
      <c r="K441" s="5">
        <v>1440</v>
      </c>
      <c r="L441" s="5">
        <v>5440</v>
      </c>
      <c r="M441" s="5">
        <v>48795</v>
      </c>
      <c r="N441" s="5" t="s">
        <v>20</v>
      </c>
      <c r="O441" s="5">
        <v>90</v>
      </c>
      <c r="P441" s="5">
        <v>2</v>
      </c>
      <c r="Q441" s="15" t="str">
        <f t="shared" si="20"/>
        <v>Average</v>
      </c>
      <c r="R441" s="6" t="s">
        <v>40</v>
      </c>
    </row>
    <row r="442" spans="1:18" x14ac:dyDescent="0.3">
      <c r="A442" s="4">
        <v>441</v>
      </c>
      <c r="B442" s="5" t="s">
        <v>476</v>
      </c>
      <c r="C442" s="5">
        <v>52</v>
      </c>
      <c r="D442" s="12" t="str">
        <f t="shared" si="18"/>
        <v>Senior</v>
      </c>
      <c r="E442" s="5" t="s">
        <v>16</v>
      </c>
      <c r="F442" s="5" t="s">
        <v>43</v>
      </c>
      <c r="G442" s="5" t="s">
        <v>33</v>
      </c>
      <c r="H442" s="5" t="s">
        <v>26</v>
      </c>
      <c r="I442" s="5">
        <v>17</v>
      </c>
      <c r="J442" s="12" t="str">
        <f t="shared" si="19"/>
        <v>Expert</v>
      </c>
      <c r="K442" s="5">
        <v>1441</v>
      </c>
      <c r="L442" s="5">
        <v>5441</v>
      </c>
      <c r="M442" s="5">
        <v>75296</v>
      </c>
      <c r="N442" s="5" t="s">
        <v>20</v>
      </c>
      <c r="O442" s="5">
        <v>71</v>
      </c>
      <c r="P442" s="5">
        <v>4</v>
      </c>
      <c r="Q442" s="15" t="str">
        <f t="shared" si="20"/>
        <v>Excellent</v>
      </c>
      <c r="R442" s="6" t="s">
        <v>31</v>
      </c>
    </row>
    <row r="443" spans="1:18" x14ac:dyDescent="0.3">
      <c r="A443" s="4">
        <v>442</v>
      </c>
      <c r="B443" s="5" t="s">
        <v>477</v>
      </c>
      <c r="C443" s="5">
        <v>59</v>
      </c>
      <c r="D443" s="12" t="str">
        <f t="shared" si="18"/>
        <v>Senior</v>
      </c>
      <c r="E443" s="5" t="s">
        <v>23</v>
      </c>
      <c r="F443" s="5" t="s">
        <v>24</v>
      </c>
      <c r="G443" s="5" t="s">
        <v>33</v>
      </c>
      <c r="H443" s="5" t="s">
        <v>26</v>
      </c>
      <c r="I443" s="5">
        <v>19</v>
      </c>
      <c r="J443" s="12" t="str">
        <f t="shared" si="19"/>
        <v>Expert</v>
      </c>
      <c r="K443" s="5">
        <v>1442</v>
      </c>
      <c r="L443" s="5">
        <v>5442</v>
      </c>
      <c r="M443" s="5">
        <v>41447</v>
      </c>
      <c r="N443" s="5" t="s">
        <v>20</v>
      </c>
      <c r="O443" s="5">
        <v>57</v>
      </c>
      <c r="P443" s="5">
        <v>2</v>
      </c>
      <c r="Q443" s="15" t="str">
        <f t="shared" si="20"/>
        <v>Average</v>
      </c>
      <c r="R443" s="6" t="s">
        <v>40</v>
      </c>
    </row>
    <row r="444" spans="1:18" x14ac:dyDescent="0.3">
      <c r="A444" s="4">
        <v>443</v>
      </c>
      <c r="B444" s="5" t="s">
        <v>478</v>
      </c>
      <c r="C444" s="5">
        <v>29</v>
      </c>
      <c r="D444" s="12" t="str">
        <f t="shared" si="18"/>
        <v>Young</v>
      </c>
      <c r="E444" s="5" t="s">
        <v>16</v>
      </c>
      <c r="F444" s="5" t="s">
        <v>45</v>
      </c>
      <c r="G444" s="5" t="s">
        <v>25</v>
      </c>
      <c r="H444" s="5" t="s">
        <v>26</v>
      </c>
      <c r="I444" s="5">
        <v>19</v>
      </c>
      <c r="J444" s="12" t="str">
        <f t="shared" si="19"/>
        <v>Expert</v>
      </c>
      <c r="K444" s="5">
        <v>1443</v>
      </c>
      <c r="L444" s="5">
        <v>5443</v>
      </c>
      <c r="M444" s="5">
        <v>56598</v>
      </c>
      <c r="N444" s="5" t="s">
        <v>27</v>
      </c>
      <c r="O444" s="5">
        <v>26</v>
      </c>
      <c r="P444" s="5">
        <v>3</v>
      </c>
      <c r="Q444" s="15" t="str">
        <f t="shared" si="20"/>
        <v>Good</v>
      </c>
      <c r="R444" s="6" t="s">
        <v>36</v>
      </c>
    </row>
    <row r="445" spans="1:18" x14ac:dyDescent="0.3">
      <c r="A445" s="4">
        <v>444</v>
      </c>
      <c r="B445" s="5" t="s">
        <v>479</v>
      </c>
      <c r="C445" s="5">
        <v>48</v>
      </c>
      <c r="D445" s="12" t="str">
        <f t="shared" si="18"/>
        <v>Elder</v>
      </c>
      <c r="E445" s="5" t="s">
        <v>16</v>
      </c>
      <c r="F445" s="5" t="s">
        <v>17</v>
      </c>
      <c r="G445" s="5" t="s">
        <v>18</v>
      </c>
      <c r="H445" s="5" t="s">
        <v>29</v>
      </c>
      <c r="I445" s="5">
        <v>11</v>
      </c>
      <c r="J445" s="12" t="str">
        <f t="shared" si="19"/>
        <v>Senior</v>
      </c>
      <c r="K445" s="5">
        <v>1444</v>
      </c>
      <c r="L445" s="5">
        <v>5444</v>
      </c>
      <c r="M445" s="5">
        <v>61814</v>
      </c>
      <c r="N445" s="5" t="s">
        <v>27</v>
      </c>
      <c r="O445" s="5">
        <v>25</v>
      </c>
      <c r="P445" s="5">
        <v>1</v>
      </c>
      <c r="Q445" s="15" t="str">
        <f t="shared" si="20"/>
        <v>Poor</v>
      </c>
      <c r="R445" s="6" t="s">
        <v>21</v>
      </c>
    </row>
    <row r="446" spans="1:18" x14ac:dyDescent="0.3">
      <c r="A446" s="4">
        <v>445</v>
      </c>
      <c r="B446" s="5" t="s">
        <v>480</v>
      </c>
      <c r="C446" s="5">
        <v>32</v>
      </c>
      <c r="D446" s="12" t="str">
        <f t="shared" si="18"/>
        <v>Mid Age</v>
      </c>
      <c r="E446" s="5" t="s">
        <v>23</v>
      </c>
      <c r="F446" s="5" t="s">
        <v>24</v>
      </c>
      <c r="G446" s="5" t="s">
        <v>18</v>
      </c>
      <c r="H446" s="5" t="s">
        <v>29</v>
      </c>
      <c r="I446" s="5">
        <v>18</v>
      </c>
      <c r="J446" s="12" t="str">
        <f t="shared" si="19"/>
        <v>Expert</v>
      </c>
      <c r="K446" s="5">
        <v>1445</v>
      </c>
      <c r="L446" s="5">
        <v>5445</v>
      </c>
      <c r="M446" s="5">
        <v>110751</v>
      </c>
      <c r="N446" s="5" t="s">
        <v>30</v>
      </c>
      <c r="O446" s="5">
        <v>10</v>
      </c>
      <c r="P446" s="5">
        <v>1</v>
      </c>
      <c r="Q446" s="15" t="str">
        <f t="shared" si="20"/>
        <v>Poor</v>
      </c>
      <c r="R446" s="6" t="s">
        <v>40</v>
      </c>
    </row>
    <row r="447" spans="1:18" x14ac:dyDescent="0.3">
      <c r="A447" s="4">
        <v>446</v>
      </c>
      <c r="B447" s="5" t="s">
        <v>481</v>
      </c>
      <c r="C447" s="5">
        <v>31</v>
      </c>
      <c r="D447" s="12" t="str">
        <f t="shared" si="18"/>
        <v>Mid Age</v>
      </c>
      <c r="E447" s="5" t="s">
        <v>16</v>
      </c>
      <c r="F447" s="5" t="s">
        <v>43</v>
      </c>
      <c r="G447" s="5" t="s">
        <v>25</v>
      </c>
      <c r="H447" s="5" t="s">
        <v>29</v>
      </c>
      <c r="I447" s="5">
        <v>13</v>
      </c>
      <c r="J447" s="12" t="str">
        <f t="shared" si="19"/>
        <v>Senior</v>
      </c>
      <c r="K447" s="5">
        <v>1446</v>
      </c>
      <c r="L447" s="5">
        <v>5446</v>
      </c>
      <c r="M447" s="5">
        <v>95330</v>
      </c>
      <c r="N447" s="5" t="s">
        <v>38</v>
      </c>
      <c r="O447" s="5">
        <v>45</v>
      </c>
      <c r="P447" s="5">
        <v>4</v>
      </c>
      <c r="Q447" s="15" t="str">
        <f t="shared" si="20"/>
        <v>Excellent</v>
      </c>
      <c r="R447" s="6" t="s">
        <v>36</v>
      </c>
    </row>
    <row r="448" spans="1:18" x14ac:dyDescent="0.3">
      <c r="A448" s="4">
        <v>447</v>
      </c>
      <c r="B448" s="5" t="s">
        <v>482</v>
      </c>
      <c r="C448" s="5">
        <v>50</v>
      </c>
      <c r="D448" s="12" t="str">
        <f t="shared" si="18"/>
        <v>Elder</v>
      </c>
      <c r="E448" s="5" t="s">
        <v>23</v>
      </c>
      <c r="F448" s="5" t="s">
        <v>24</v>
      </c>
      <c r="G448" s="5" t="s">
        <v>18</v>
      </c>
      <c r="H448" s="5" t="s">
        <v>29</v>
      </c>
      <c r="I448" s="5">
        <v>16</v>
      </c>
      <c r="J448" s="12" t="str">
        <f t="shared" si="19"/>
        <v>Expert</v>
      </c>
      <c r="K448" s="5">
        <v>1447</v>
      </c>
      <c r="L448" s="5">
        <v>5447</v>
      </c>
      <c r="M448" s="5">
        <v>118745</v>
      </c>
      <c r="N448" s="5" t="s">
        <v>20</v>
      </c>
      <c r="O448" s="5">
        <v>83</v>
      </c>
      <c r="P448" s="5">
        <v>3</v>
      </c>
      <c r="Q448" s="15" t="str">
        <f t="shared" si="20"/>
        <v>Good</v>
      </c>
      <c r="R448" s="6" t="s">
        <v>40</v>
      </c>
    </row>
    <row r="449" spans="1:18" x14ac:dyDescent="0.3">
      <c r="A449" s="4">
        <v>448</v>
      </c>
      <c r="B449" s="5" t="s">
        <v>483</v>
      </c>
      <c r="C449" s="5">
        <v>21</v>
      </c>
      <c r="D449" s="12" t="str">
        <f t="shared" si="18"/>
        <v>Young</v>
      </c>
      <c r="E449" s="5" t="s">
        <v>23</v>
      </c>
      <c r="F449" s="5" t="s">
        <v>43</v>
      </c>
      <c r="G449" s="5" t="s">
        <v>25</v>
      </c>
      <c r="H449" s="5" t="s">
        <v>29</v>
      </c>
      <c r="I449" s="5">
        <v>2</v>
      </c>
      <c r="J449" s="12" t="str">
        <f t="shared" si="19"/>
        <v>Beginner</v>
      </c>
      <c r="K449" s="5">
        <v>1448</v>
      </c>
      <c r="L449" s="5">
        <v>5448</v>
      </c>
      <c r="M449" s="5">
        <v>107960</v>
      </c>
      <c r="N449" s="5" t="s">
        <v>20</v>
      </c>
      <c r="O449" s="5">
        <v>11</v>
      </c>
      <c r="P449" s="5">
        <v>2</v>
      </c>
      <c r="Q449" s="15" t="str">
        <f t="shared" si="20"/>
        <v>Average</v>
      </c>
      <c r="R449" s="6" t="s">
        <v>40</v>
      </c>
    </row>
    <row r="450" spans="1:18" x14ac:dyDescent="0.3">
      <c r="A450" s="4">
        <v>449</v>
      </c>
      <c r="B450" s="5" t="s">
        <v>484</v>
      </c>
      <c r="C450" s="5">
        <v>54</v>
      </c>
      <c r="D450" s="12" t="str">
        <f t="shared" ref="D450:D501" si="21">IF(AND(C450&gt;=20,C450&lt;=30),"Young",IF(AND(C450&gt;30,C450&lt;=40),"Mid Age",IF(AND(C450&gt;40,C450&lt;=50),"Elder",IF(AND(C450&gt;50,C450&lt;=59),"Senior","Other"))))</f>
        <v>Senior</v>
      </c>
      <c r="E450" s="5" t="s">
        <v>23</v>
      </c>
      <c r="F450" s="5" t="s">
        <v>43</v>
      </c>
      <c r="G450" s="5" t="s">
        <v>25</v>
      </c>
      <c r="H450" s="5" t="s">
        <v>19</v>
      </c>
      <c r="I450" s="5">
        <v>6</v>
      </c>
      <c r="J450" s="12" t="str">
        <f t="shared" ref="J450:J501" si="22">IF(I450&lt;=2,"Beginner",IF(I450&lt;=5,"Junior",IF(I450&lt;=10,"Mid-level",IF(I450&lt;=15,"Senior","Expert"))))</f>
        <v>Mid-level</v>
      </c>
      <c r="K450" s="5">
        <v>1449</v>
      </c>
      <c r="L450" s="5">
        <v>5449</v>
      </c>
      <c r="M450" s="5">
        <v>83278</v>
      </c>
      <c r="N450" s="5" t="s">
        <v>38</v>
      </c>
      <c r="O450" s="5">
        <v>77</v>
      </c>
      <c r="P450" s="5">
        <v>4</v>
      </c>
      <c r="Q450" s="15" t="str">
        <f t="shared" ref="Q450:Q501" si="23">IF(P450=1,"Poor",IF(P450=2,"Average",IF(P450=3,"Good",IF(P450=4,"Excellent","Unknown"))))</f>
        <v>Excellent</v>
      </c>
      <c r="R450" s="6" t="s">
        <v>36</v>
      </c>
    </row>
    <row r="451" spans="1:18" x14ac:dyDescent="0.3">
      <c r="A451" s="4">
        <v>450</v>
      </c>
      <c r="B451" s="5" t="s">
        <v>485</v>
      </c>
      <c r="C451" s="5">
        <v>42</v>
      </c>
      <c r="D451" s="12" t="str">
        <f t="shared" si="21"/>
        <v>Elder</v>
      </c>
      <c r="E451" s="5" t="s">
        <v>16</v>
      </c>
      <c r="F451" s="5" t="s">
        <v>24</v>
      </c>
      <c r="G451" s="5" t="s">
        <v>25</v>
      </c>
      <c r="H451" s="5" t="s">
        <v>26</v>
      </c>
      <c r="I451" s="5">
        <v>16</v>
      </c>
      <c r="J451" s="12" t="str">
        <f t="shared" si="22"/>
        <v>Expert</v>
      </c>
      <c r="K451" s="5">
        <v>1450</v>
      </c>
      <c r="L451" s="5">
        <v>5450</v>
      </c>
      <c r="M451" s="5">
        <v>75077</v>
      </c>
      <c r="N451" s="5" t="s">
        <v>38</v>
      </c>
      <c r="O451" s="5">
        <v>53</v>
      </c>
      <c r="P451" s="5">
        <v>3</v>
      </c>
      <c r="Q451" s="15" t="str">
        <f t="shared" si="23"/>
        <v>Good</v>
      </c>
      <c r="R451" s="6" t="s">
        <v>40</v>
      </c>
    </row>
    <row r="452" spans="1:18" x14ac:dyDescent="0.3">
      <c r="A452" s="4">
        <v>451</v>
      </c>
      <c r="B452" s="5" t="s">
        <v>486</v>
      </c>
      <c r="C452" s="5">
        <v>36</v>
      </c>
      <c r="D452" s="12" t="str">
        <f t="shared" si="21"/>
        <v>Mid Age</v>
      </c>
      <c r="E452" s="5" t="s">
        <v>16</v>
      </c>
      <c r="F452" s="5" t="s">
        <v>45</v>
      </c>
      <c r="G452" s="5" t="s">
        <v>33</v>
      </c>
      <c r="H452" s="5" t="s">
        <v>26</v>
      </c>
      <c r="I452" s="5">
        <v>11</v>
      </c>
      <c r="J452" s="12" t="str">
        <f t="shared" si="22"/>
        <v>Senior</v>
      </c>
      <c r="K452" s="5">
        <v>1451</v>
      </c>
      <c r="L452" s="5">
        <v>5451</v>
      </c>
      <c r="M452" s="5">
        <v>91906</v>
      </c>
      <c r="N452" s="5" t="s">
        <v>30</v>
      </c>
      <c r="O452" s="5">
        <v>72</v>
      </c>
      <c r="P452" s="5">
        <v>3</v>
      </c>
      <c r="Q452" s="15" t="str">
        <f t="shared" si="23"/>
        <v>Good</v>
      </c>
      <c r="R452" s="6" t="s">
        <v>40</v>
      </c>
    </row>
    <row r="453" spans="1:18" x14ac:dyDescent="0.3">
      <c r="A453" s="4">
        <v>452</v>
      </c>
      <c r="B453" s="5" t="s">
        <v>487</v>
      </c>
      <c r="C453" s="5">
        <v>45</v>
      </c>
      <c r="D453" s="12" t="str">
        <f t="shared" si="21"/>
        <v>Elder</v>
      </c>
      <c r="E453" s="5" t="s">
        <v>16</v>
      </c>
      <c r="F453" s="5" t="s">
        <v>43</v>
      </c>
      <c r="G453" s="5" t="s">
        <v>18</v>
      </c>
      <c r="H453" s="5" t="s">
        <v>26</v>
      </c>
      <c r="I453" s="5">
        <v>8</v>
      </c>
      <c r="J453" s="12" t="str">
        <f t="shared" si="22"/>
        <v>Mid-level</v>
      </c>
      <c r="K453" s="5">
        <v>1452</v>
      </c>
      <c r="L453" s="5">
        <v>5452</v>
      </c>
      <c r="M453" s="5">
        <v>29528</v>
      </c>
      <c r="N453" s="5" t="s">
        <v>38</v>
      </c>
      <c r="O453" s="5">
        <v>68</v>
      </c>
      <c r="P453" s="5">
        <v>2</v>
      </c>
      <c r="Q453" s="15" t="str">
        <f t="shared" si="23"/>
        <v>Average</v>
      </c>
      <c r="R453" s="6" t="s">
        <v>21</v>
      </c>
    </row>
    <row r="454" spans="1:18" x14ac:dyDescent="0.3">
      <c r="A454" s="4">
        <v>453</v>
      </c>
      <c r="B454" s="5" t="s">
        <v>488</v>
      </c>
      <c r="C454" s="5">
        <v>27</v>
      </c>
      <c r="D454" s="12" t="str">
        <f t="shared" si="21"/>
        <v>Young</v>
      </c>
      <c r="E454" s="5" t="s">
        <v>23</v>
      </c>
      <c r="F454" s="5" t="s">
        <v>45</v>
      </c>
      <c r="G454" s="5" t="s">
        <v>25</v>
      </c>
      <c r="H454" s="5" t="s">
        <v>26</v>
      </c>
      <c r="I454" s="5">
        <v>14</v>
      </c>
      <c r="J454" s="12" t="str">
        <f t="shared" si="22"/>
        <v>Senior</v>
      </c>
      <c r="K454" s="5">
        <v>1453</v>
      </c>
      <c r="L454" s="5">
        <v>5453</v>
      </c>
      <c r="M454" s="5">
        <v>113812</v>
      </c>
      <c r="N454" s="5" t="s">
        <v>20</v>
      </c>
      <c r="O454" s="5">
        <v>95</v>
      </c>
      <c r="P454" s="5">
        <v>4</v>
      </c>
      <c r="Q454" s="15" t="str">
        <f t="shared" si="23"/>
        <v>Excellent</v>
      </c>
      <c r="R454" s="6" t="s">
        <v>36</v>
      </c>
    </row>
    <row r="455" spans="1:18" x14ac:dyDescent="0.3">
      <c r="A455" s="4">
        <v>454</v>
      </c>
      <c r="B455" s="5" t="s">
        <v>489</v>
      </c>
      <c r="C455" s="5">
        <v>48</v>
      </c>
      <c r="D455" s="12" t="str">
        <f t="shared" si="21"/>
        <v>Elder</v>
      </c>
      <c r="E455" s="5" t="s">
        <v>16</v>
      </c>
      <c r="F455" s="5" t="s">
        <v>17</v>
      </c>
      <c r="G455" s="5" t="s">
        <v>18</v>
      </c>
      <c r="H455" s="5" t="s">
        <v>26</v>
      </c>
      <c r="I455" s="5">
        <v>17</v>
      </c>
      <c r="J455" s="12" t="str">
        <f t="shared" si="22"/>
        <v>Expert</v>
      </c>
      <c r="K455" s="5">
        <v>1454</v>
      </c>
      <c r="L455" s="5">
        <v>5454</v>
      </c>
      <c r="M455" s="5">
        <v>70100</v>
      </c>
      <c r="N455" s="5" t="s">
        <v>20</v>
      </c>
      <c r="O455" s="5">
        <v>28</v>
      </c>
      <c r="P455" s="5">
        <v>3</v>
      </c>
      <c r="Q455" s="15" t="str">
        <f t="shared" si="23"/>
        <v>Good</v>
      </c>
      <c r="R455" s="6" t="s">
        <v>36</v>
      </c>
    </row>
    <row r="456" spans="1:18" x14ac:dyDescent="0.3">
      <c r="A456" s="4">
        <v>455</v>
      </c>
      <c r="B456" s="5" t="s">
        <v>490</v>
      </c>
      <c r="C456" s="5">
        <v>45</v>
      </c>
      <c r="D456" s="12" t="str">
        <f t="shared" si="21"/>
        <v>Elder</v>
      </c>
      <c r="E456" s="5" t="s">
        <v>16</v>
      </c>
      <c r="F456" s="5" t="s">
        <v>43</v>
      </c>
      <c r="G456" s="5" t="s">
        <v>33</v>
      </c>
      <c r="H456" s="5" t="s">
        <v>26</v>
      </c>
      <c r="I456" s="5">
        <v>12</v>
      </c>
      <c r="J456" s="12" t="str">
        <f t="shared" si="22"/>
        <v>Senior</v>
      </c>
      <c r="K456" s="5">
        <v>1455</v>
      </c>
      <c r="L456" s="5">
        <v>5455</v>
      </c>
      <c r="M456" s="5">
        <v>28179</v>
      </c>
      <c r="N456" s="5" t="s">
        <v>20</v>
      </c>
      <c r="O456" s="5">
        <v>75</v>
      </c>
      <c r="P456" s="5">
        <v>3</v>
      </c>
      <c r="Q456" s="15" t="str">
        <f t="shared" si="23"/>
        <v>Good</v>
      </c>
      <c r="R456" s="6" t="s">
        <v>31</v>
      </c>
    </row>
    <row r="457" spans="1:18" x14ac:dyDescent="0.3">
      <c r="A457" s="4">
        <v>456</v>
      </c>
      <c r="B457" s="5" t="s">
        <v>491</v>
      </c>
      <c r="C457" s="5">
        <v>29</v>
      </c>
      <c r="D457" s="12" t="str">
        <f t="shared" si="21"/>
        <v>Young</v>
      </c>
      <c r="E457" s="5" t="s">
        <v>16</v>
      </c>
      <c r="F457" s="5" t="s">
        <v>45</v>
      </c>
      <c r="G457" s="5" t="s">
        <v>25</v>
      </c>
      <c r="H457" s="5" t="s">
        <v>26</v>
      </c>
      <c r="I457" s="5">
        <v>7</v>
      </c>
      <c r="J457" s="12" t="str">
        <f t="shared" si="22"/>
        <v>Mid-level</v>
      </c>
      <c r="K457" s="5">
        <v>1456</v>
      </c>
      <c r="L457" s="5">
        <v>5456</v>
      </c>
      <c r="M457" s="5">
        <v>68781</v>
      </c>
      <c r="N457" s="5" t="s">
        <v>20</v>
      </c>
      <c r="O457" s="5">
        <v>65</v>
      </c>
      <c r="P457" s="5">
        <v>3</v>
      </c>
      <c r="Q457" s="15" t="str">
        <f t="shared" si="23"/>
        <v>Good</v>
      </c>
      <c r="R457" s="6" t="s">
        <v>40</v>
      </c>
    </row>
    <row r="458" spans="1:18" x14ac:dyDescent="0.3">
      <c r="A458" s="4">
        <v>457</v>
      </c>
      <c r="B458" s="5" t="s">
        <v>492</v>
      </c>
      <c r="C458" s="5">
        <v>45</v>
      </c>
      <c r="D458" s="12" t="str">
        <f t="shared" si="21"/>
        <v>Elder</v>
      </c>
      <c r="E458" s="5" t="s">
        <v>23</v>
      </c>
      <c r="F458" s="5" t="s">
        <v>45</v>
      </c>
      <c r="G458" s="5" t="s">
        <v>46</v>
      </c>
      <c r="H458" s="5" t="s">
        <v>26</v>
      </c>
      <c r="I458" s="5">
        <v>13</v>
      </c>
      <c r="J458" s="12" t="str">
        <f t="shared" si="22"/>
        <v>Senior</v>
      </c>
      <c r="K458" s="5">
        <v>1457</v>
      </c>
      <c r="L458" s="5">
        <v>5457</v>
      </c>
      <c r="M458" s="5">
        <v>75267</v>
      </c>
      <c r="N458" s="5" t="s">
        <v>20</v>
      </c>
      <c r="O458" s="5">
        <v>49</v>
      </c>
      <c r="P458" s="5">
        <v>2</v>
      </c>
      <c r="Q458" s="15" t="str">
        <f t="shared" si="23"/>
        <v>Average</v>
      </c>
      <c r="R458" s="6" t="s">
        <v>21</v>
      </c>
    </row>
    <row r="459" spans="1:18" x14ac:dyDescent="0.3">
      <c r="A459" s="4">
        <v>458</v>
      </c>
      <c r="B459" s="5" t="s">
        <v>493</v>
      </c>
      <c r="C459" s="5">
        <v>53</v>
      </c>
      <c r="D459" s="12" t="str">
        <f t="shared" si="21"/>
        <v>Senior</v>
      </c>
      <c r="E459" s="5" t="s">
        <v>23</v>
      </c>
      <c r="F459" s="5" t="s">
        <v>17</v>
      </c>
      <c r="G459" s="5" t="s">
        <v>33</v>
      </c>
      <c r="H459" s="5" t="s">
        <v>19</v>
      </c>
      <c r="I459" s="5">
        <v>7</v>
      </c>
      <c r="J459" s="12" t="str">
        <f t="shared" si="22"/>
        <v>Mid-level</v>
      </c>
      <c r="K459" s="5">
        <v>1458</v>
      </c>
      <c r="L459" s="5">
        <v>5458</v>
      </c>
      <c r="M459" s="5">
        <v>102379</v>
      </c>
      <c r="N459" s="5" t="s">
        <v>30</v>
      </c>
      <c r="O459" s="5">
        <v>47</v>
      </c>
      <c r="P459" s="5">
        <v>4</v>
      </c>
      <c r="Q459" s="15" t="str">
        <f t="shared" si="23"/>
        <v>Excellent</v>
      </c>
      <c r="R459" s="6" t="s">
        <v>40</v>
      </c>
    </row>
    <row r="460" spans="1:18" x14ac:dyDescent="0.3">
      <c r="A460" s="4">
        <v>459</v>
      </c>
      <c r="B460" s="5" t="s">
        <v>494</v>
      </c>
      <c r="C460" s="5">
        <v>26</v>
      </c>
      <c r="D460" s="12" t="str">
        <f t="shared" si="21"/>
        <v>Young</v>
      </c>
      <c r="E460" s="5" t="s">
        <v>16</v>
      </c>
      <c r="F460" s="5" t="s">
        <v>45</v>
      </c>
      <c r="G460" s="5" t="s">
        <v>46</v>
      </c>
      <c r="H460" s="5" t="s">
        <v>26</v>
      </c>
      <c r="I460" s="5">
        <v>13</v>
      </c>
      <c r="J460" s="12" t="str">
        <f t="shared" si="22"/>
        <v>Senior</v>
      </c>
      <c r="K460" s="5">
        <v>1459</v>
      </c>
      <c r="L460" s="5">
        <v>5459</v>
      </c>
      <c r="M460" s="5">
        <v>43952</v>
      </c>
      <c r="N460" s="5" t="s">
        <v>20</v>
      </c>
      <c r="O460" s="5">
        <v>52</v>
      </c>
      <c r="P460" s="5">
        <v>4</v>
      </c>
      <c r="Q460" s="15" t="str">
        <f t="shared" si="23"/>
        <v>Excellent</v>
      </c>
      <c r="R460" s="6" t="s">
        <v>40</v>
      </c>
    </row>
    <row r="461" spans="1:18" x14ac:dyDescent="0.3">
      <c r="A461" s="4">
        <v>460</v>
      </c>
      <c r="B461" s="5" t="s">
        <v>495</v>
      </c>
      <c r="C461" s="5">
        <v>23</v>
      </c>
      <c r="D461" s="12" t="str">
        <f t="shared" si="21"/>
        <v>Young</v>
      </c>
      <c r="E461" s="5" t="s">
        <v>16</v>
      </c>
      <c r="F461" s="5" t="s">
        <v>45</v>
      </c>
      <c r="G461" s="5" t="s">
        <v>18</v>
      </c>
      <c r="H461" s="5" t="s">
        <v>19</v>
      </c>
      <c r="I461" s="5">
        <v>6</v>
      </c>
      <c r="J461" s="12" t="str">
        <f t="shared" si="22"/>
        <v>Mid-level</v>
      </c>
      <c r="K461" s="5">
        <v>1460</v>
      </c>
      <c r="L461" s="5">
        <v>5460</v>
      </c>
      <c r="M461" s="5">
        <v>73798</v>
      </c>
      <c r="N461" s="5" t="s">
        <v>30</v>
      </c>
      <c r="O461" s="5">
        <v>88</v>
      </c>
      <c r="P461" s="5">
        <v>4</v>
      </c>
      <c r="Q461" s="15" t="str">
        <f t="shared" si="23"/>
        <v>Excellent</v>
      </c>
      <c r="R461" s="6" t="s">
        <v>31</v>
      </c>
    </row>
    <row r="462" spans="1:18" x14ac:dyDescent="0.3">
      <c r="A462" s="4">
        <v>461</v>
      </c>
      <c r="B462" s="5" t="s">
        <v>496</v>
      </c>
      <c r="C462" s="5">
        <v>30</v>
      </c>
      <c r="D462" s="12" t="str">
        <f t="shared" si="21"/>
        <v>Young</v>
      </c>
      <c r="E462" s="5" t="s">
        <v>16</v>
      </c>
      <c r="F462" s="5" t="s">
        <v>17</v>
      </c>
      <c r="G462" s="5" t="s">
        <v>18</v>
      </c>
      <c r="H462" s="5" t="s">
        <v>29</v>
      </c>
      <c r="I462" s="5">
        <v>11</v>
      </c>
      <c r="J462" s="12" t="str">
        <f t="shared" si="22"/>
        <v>Senior</v>
      </c>
      <c r="K462" s="5">
        <v>1461</v>
      </c>
      <c r="L462" s="5">
        <v>5461</v>
      </c>
      <c r="M462" s="5">
        <v>118696</v>
      </c>
      <c r="N462" s="5" t="s">
        <v>20</v>
      </c>
      <c r="O462" s="5">
        <v>54</v>
      </c>
      <c r="P462" s="5">
        <v>4</v>
      </c>
      <c r="Q462" s="15" t="str">
        <f t="shared" si="23"/>
        <v>Excellent</v>
      </c>
      <c r="R462" s="6" t="s">
        <v>40</v>
      </c>
    </row>
    <row r="463" spans="1:18" x14ac:dyDescent="0.3">
      <c r="A463" s="4">
        <v>462</v>
      </c>
      <c r="B463" s="5" t="s">
        <v>497</v>
      </c>
      <c r="C463" s="5">
        <v>48</v>
      </c>
      <c r="D463" s="12" t="str">
        <f t="shared" si="21"/>
        <v>Elder</v>
      </c>
      <c r="E463" s="5" t="s">
        <v>16</v>
      </c>
      <c r="F463" s="5" t="s">
        <v>43</v>
      </c>
      <c r="G463" s="5" t="s">
        <v>33</v>
      </c>
      <c r="H463" s="5" t="s">
        <v>26</v>
      </c>
      <c r="I463" s="5">
        <v>10</v>
      </c>
      <c r="J463" s="12" t="str">
        <f t="shared" si="22"/>
        <v>Mid-level</v>
      </c>
      <c r="K463" s="5">
        <v>1462</v>
      </c>
      <c r="L463" s="5">
        <v>5462</v>
      </c>
      <c r="M463" s="5">
        <v>70939</v>
      </c>
      <c r="N463" s="5" t="s">
        <v>27</v>
      </c>
      <c r="O463" s="5">
        <v>60</v>
      </c>
      <c r="P463" s="5">
        <v>1</v>
      </c>
      <c r="Q463" s="15" t="str">
        <f t="shared" si="23"/>
        <v>Poor</v>
      </c>
      <c r="R463" s="6" t="s">
        <v>21</v>
      </c>
    </row>
    <row r="464" spans="1:18" x14ac:dyDescent="0.3">
      <c r="A464" s="4">
        <v>463</v>
      </c>
      <c r="B464" s="5" t="s">
        <v>498</v>
      </c>
      <c r="C464" s="5">
        <v>55</v>
      </c>
      <c r="D464" s="12" t="str">
        <f t="shared" si="21"/>
        <v>Senior</v>
      </c>
      <c r="E464" s="5" t="s">
        <v>23</v>
      </c>
      <c r="F464" s="5" t="s">
        <v>45</v>
      </c>
      <c r="G464" s="5" t="s">
        <v>18</v>
      </c>
      <c r="H464" s="5" t="s">
        <v>29</v>
      </c>
      <c r="I464" s="5">
        <v>10</v>
      </c>
      <c r="J464" s="12" t="str">
        <f t="shared" si="22"/>
        <v>Mid-level</v>
      </c>
      <c r="K464" s="5">
        <v>1463</v>
      </c>
      <c r="L464" s="5">
        <v>5463</v>
      </c>
      <c r="M464" s="5">
        <v>49516</v>
      </c>
      <c r="N464" s="5" t="s">
        <v>27</v>
      </c>
      <c r="O464" s="5">
        <v>57</v>
      </c>
      <c r="P464" s="5">
        <v>1</v>
      </c>
      <c r="Q464" s="15" t="str">
        <f t="shared" si="23"/>
        <v>Poor</v>
      </c>
      <c r="R464" s="6" t="s">
        <v>21</v>
      </c>
    </row>
    <row r="465" spans="1:18" x14ac:dyDescent="0.3">
      <c r="A465" s="4">
        <v>464</v>
      </c>
      <c r="B465" s="5" t="s">
        <v>499</v>
      </c>
      <c r="C465" s="5">
        <v>44</v>
      </c>
      <c r="D465" s="12" t="str">
        <f t="shared" si="21"/>
        <v>Elder</v>
      </c>
      <c r="E465" s="5" t="s">
        <v>23</v>
      </c>
      <c r="F465" s="5" t="s">
        <v>45</v>
      </c>
      <c r="G465" s="5" t="s">
        <v>46</v>
      </c>
      <c r="H465" s="5" t="s">
        <v>29</v>
      </c>
      <c r="I465" s="5">
        <v>12</v>
      </c>
      <c r="J465" s="12" t="str">
        <f t="shared" si="22"/>
        <v>Senior</v>
      </c>
      <c r="K465" s="5">
        <v>1464</v>
      </c>
      <c r="L465" s="5">
        <v>5464</v>
      </c>
      <c r="M465" s="5">
        <v>76526</v>
      </c>
      <c r="N465" s="5" t="s">
        <v>27</v>
      </c>
      <c r="O465" s="5">
        <v>47</v>
      </c>
      <c r="P465" s="5">
        <v>4</v>
      </c>
      <c r="Q465" s="15" t="str">
        <f t="shared" si="23"/>
        <v>Excellent</v>
      </c>
      <c r="R465" s="6" t="s">
        <v>31</v>
      </c>
    </row>
    <row r="466" spans="1:18" x14ac:dyDescent="0.3">
      <c r="A466" s="4">
        <v>465</v>
      </c>
      <c r="B466" s="5" t="s">
        <v>500</v>
      </c>
      <c r="C466" s="5">
        <v>40</v>
      </c>
      <c r="D466" s="12" t="str">
        <f t="shared" si="21"/>
        <v>Mid Age</v>
      </c>
      <c r="E466" s="5" t="s">
        <v>23</v>
      </c>
      <c r="F466" s="5" t="s">
        <v>45</v>
      </c>
      <c r="G466" s="5" t="s">
        <v>25</v>
      </c>
      <c r="H466" s="5" t="s">
        <v>29</v>
      </c>
      <c r="I466" s="5">
        <v>17</v>
      </c>
      <c r="J466" s="12" t="str">
        <f t="shared" si="22"/>
        <v>Expert</v>
      </c>
      <c r="K466" s="5">
        <v>1465</v>
      </c>
      <c r="L466" s="5">
        <v>5465</v>
      </c>
      <c r="M466" s="5">
        <v>30449</v>
      </c>
      <c r="N466" s="5" t="s">
        <v>27</v>
      </c>
      <c r="O466" s="5">
        <v>31</v>
      </c>
      <c r="P466" s="5">
        <v>2</v>
      </c>
      <c r="Q466" s="15" t="str">
        <f t="shared" si="23"/>
        <v>Average</v>
      </c>
      <c r="R466" s="6" t="s">
        <v>40</v>
      </c>
    </row>
    <row r="467" spans="1:18" x14ac:dyDescent="0.3">
      <c r="A467" s="4">
        <v>466</v>
      </c>
      <c r="B467" s="5" t="s">
        <v>501</v>
      </c>
      <c r="C467" s="5">
        <v>55</v>
      </c>
      <c r="D467" s="12" t="str">
        <f t="shared" si="21"/>
        <v>Senior</v>
      </c>
      <c r="E467" s="5" t="s">
        <v>23</v>
      </c>
      <c r="F467" s="5" t="s">
        <v>24</v>
      </c>
      <c r="G467" s="5" t="s">
        <v>25</v>
      </c>
      <c r="H467" s="5" t="s">
        <v>19</v>
      </c>
      <c r="I467" s="5">
        <v>1</v>
      </c>
      <c r="J467" s="12" t="str">
        <f t="shared" si="22"/>
        <v>Beginner</v>
      </c>
      <c r="K467" s="5">
        <v>1466</v>
      </c>
      <c r="L467" s="5">
        <v>5466</v>
      </c>
      <c r="M467" s="5">
        <v>70290</v>
      </c>
      <c r="N467" s="5" t="s">
        <v>30</v>
      </c>
      <c r="O467" s="5">
        <v>46</v>
      </c>
      <c r="P467" s="5">
        <v>1</v>
      </c>
      <c r="Q467" s="15" t="str">
        <f t="shared" si="23"/>
        <v>Poor</v>
      </c>
      <c r="R467" s="6" t="s">
        <v>21</v>
      </c>
    </row>
    <row r="468" spans="1:18" x14ac:dyDescent="0.3">
      <c r="A468" s="4">
        <v>467</v>
      </c>
      <c r="B468" s="5" t="s">
        <v>502</v>
      </c>
      <c r="C468" s="5">
        <v>29</v>
      </c>
      <c r="D468" s="12" t="str">
        <f t="shared" si="21"/>
        <v>Young</v>
      </c>
      <c r="E468" s="5" t="s">
        <v>16</v>
      </c>
      <c r="F468" s="5" t="s">
        <v>17</v>
      </c>
      <c r="G468" s="5" t="s">
        <v>25</v>
      </c>
      <c r="H468" s="5" t="s">
        <v>29</v>
      </c>
      <c r="I468" s="5">
        <v>14</v>
      </c>
      <c r="J468" s="12" t="str">
        <f t="shared" si="22"/>
        <v>Senior</v>
      </c>
      <c r="K468" s="5">
        <v>1467</v>
      </c>
      <c r="L468" s="5">
        <v>5467</v>
      </c>
      <c r="M468" s="5">
        <v>106661</v>
      </c>
      <c r="N468" s="5" t="s">
        <v>30</v>
      </c>
      <c r="O468" s="5">
        <v>26</v>
      </c>
      <c r="P468" s="5">
        <v>3</v>
      </c>
      <c r="Q468" s="15" t="str">
        <f t="shared" si="23"/>
        <v>Good</v>
      </c>
      <c r="R468" s="6" t="s">
        <v>40</v>
      </c>
    </row>
    <row r="469" spans="1:18" x14ac:dyDescent="0.3">
      <c r="A469" s="4">
        <v>468</v>
      </c>
      <c r="B469" s="5" t="s">
        <v>503</v>
      </c>
      <c r="C469" s="5">
        <v>56</v>
      </c>
      <c r="D469" s="12" t="str">
        <f t="shared" si="21"/>
        <v>Senior</v>
      </c>
      <c r="E469" s="5" t="s">
        <v>16</v>
      </c>
      <c r="F469" s="5" t="s">
        <v>24</v>
      </c>
      <c r="G469" s="5" t="s">
        <v>33</v>
      </c>
      <c r="H469" s="5" t="s">
        <v>29</v>
      </c>
      <c r="I469" s="5">
        <v>19</v>
      </c>
      <c r="J469" s="12" t="str">
        <f t="shared" si="22"/>
        <v>Expert</v>
      </c>
      <c r="K469" s="5">
        <v>1468</v>
      </c>
      <c r="L469" s="5">
        <v>5468</v>
      </c>
      <c r="M469" s="5">
        <v>92954</v>
      </c>
      <c r="N469" s="5" t="s">
        <v>38</v>
      </c>
      <c r="O469" s="5">
        <v>5</v>
      </c>
      <c r="P469" s="5">
        <v>1</v>
      </c>
      <c r="Q469" s="15" t="str">
        <f t="shared" si="23"/>
        <v>Poor</v>
      </c>
      <c r="R469" s="6" t="s">
        <v>40</v>
      </c>
    </row>
    <row r="470" spans="1:18" x14ac:dyDescent="0.3">
      <c r="A470" s="4">
        <v>469</v>
      </c>
      <c r="B470" s="5" t="s">
        <v>504</v>
      </c>
      <c r="C470" s="5">
        <v>28</v>
      </c>
      <c r="D470" s="12" t="str">
        <f t="shared" si="21"/>
        <v>Young</v>
      </c>
      <c r="E470" s="5" t="s">
        <v>16</v>
      </c>
      <c r="F470" s="5" t="s">
        <v>17</v>
      </c>
      <c r="G470" s="5" t="s">
        <v>18</v>
      </c>
      <c r="H470" s="5" t="s">
        <v>29</v>
      </c>
      <c r="I470" s="5">
        <v>17</v>
      </c>
      <c r="J470" s="12" t="str">
        <f t="shared" si="22"/>
        <v>Expert</v>
      </c>
      <c r="K470" s="5">
        <v>1469</v>
      </c>
      <c r="L470" s="5">
        <v>5469</v>
      </c>
      <c r="M470" s="5">
        <v>42746</v>
      </c>
      <c r="N470" s="5" t="s">
        <v>20</v>
      </c>
      <c r="O470" s="5">
        <v>84</v>
      </c>
      <c r="P470" s="5">
        <v>3</v>
      </c>
      <c r="Q470" s="15" t="str">
        <f t="shared" si="23"/>
        <v>Good</v>
      </c>
      <c r="R470" s="6" t="s">
        <v>40</v>
      </c>
    </row>
    <row r="471" spans="1:18" x14ac:dyDescent="0.3">
      <c r="A471" s="4">
        <v>470</v>
      </c>
      <c r="B471" s="5" t="s">
        <v>505</v>
      </c>
      <c r="C471" s="5">
        <v>43</v>
      </c>
      <c r="D471" s="12" t="str">
        <f t="shared" si="21"/>
        <v>Elder</v>
      </c>
      <c r="E471" s="5" t="s">
        <v>23</v>
      </c>
      <c r="F471" s="5" t="s">
        <v>43</v>
      </c>
      <c r="G471" s="5" t="s">
        <v>46</v>
      </c>
      <c r="H471" s="5" t="s">
        <v>26</v>
      </c>
      <c r="I471" s="5">
        <v>14</v>
      </c>
      <c r="J471" s="12" t="str">
        <f t="shared" si="22"/>
        <v>Senior</v>
      </c>
      <c r="K471" s="5">
        <v>1470</v>
      </c>
      <c r="L471" s="5">
        <v>5470</v>
      </c>
      <c r="M471" s="5">
        <v>87990</v>
      </c>
      <c r="N471" s="5" t="s">
        <v>27</v>
      </c>
      <c r="O471" s="5">
        <v>52</v>
      </c>
      <c r="P471" s="5">
        <v>4</v>
      </c>
      <c r="Q471" s="15" t="str">
        <f t="shared" si="23"/>
        <v>Excellent</v>
      </c>
      <c r="R471" s="6" t="s">
        <v>31</v>
      </c>
    </row>
    <row r="472" spans="1:18" x14ac:dyDescent="0.3">
      <c r="A472" s="4">
        <v>471</v>
      </c>
      <c r="B472" s="5" t="s">
        <v>506</v>
      </c>
      <c r="C472" s="5">
        <v>54</v>
      </c>
      <c r="D472" s="12" t="str">
        <f t="shared" si="21"/>
        <v>Senior</v>
      </c>
      <c r="E472" s="5" t="s">
        <v>16</v>
      </c>
      <c r="F472" s="5" t="s">
        <v>43</v>
      </c>
      <c r="G472" s="5" t="s">
        <v>18</v>
      </c>
      <c r="H472" s="5" t="s">
        <v>26</v>
      </c>
      <c r="I472" s="5">
        <v>18</v>
      </c>
      <c r="J472" s="12" t="str">
        <f t="shared" si="22"/>
        <v>Expert</v>
      </c>
      <c r="K472" s="5">
        <v>1471</v>
      </c>
      <c r="L472" s="5">
        <v>5471</v>
      </c>
      <c r="M472" s="5">
        <v>78810</v>
      </c>
      <c r="N472" s="5" t="s">
        <v>30</v>
      </c>
      <c r="O472" s="5">
        <v>75</v>
      </c>
      <c r="P472" s="5">
        <v>1</v>
      </c>
      <c r="Q472" s="15" t="str">
        <f t="shared" si="23"/>
        <v>Poor</v>
      </c>
      <c r="R472" s="6" t="s">
        <v>40</v>
      </c>
    </row>
    <row r="473" spans="1:18" x14ac:dyDescent="0.3">
      <c r="A473" s="4">
        <v>472</v>
      </c>
      <c r="B473" s="5" t="s">
        <v>507</v>
      </c>
      <c r="C473" s="5">
        <v>54</v>
      </c>
      <c r="D473" s="12" t="str">
        <f t="shared" si="21"/>
        <v>Senior</v>
      </c>
      <c r="E473" s="5" t="s">
        <v>23</v>
      </c>
      <c r="F473" s="5" t="s">
        <v>45</v>
      </c>
      <c r="G473" s="5" t="s">
        <v>18</v>
      </c>
      <c r="H473" s="5" t="s">
        <v>19</v>
      </c>
      <c r="I473" s="5">
        <v>11</v>
      </c>
      <c r="J473" s="12" t="str">
        <f t="shared" si="22"/>
        <v>Senior</v>
      </c>
      <c r="K473" s="5">
        <v>1472</v>
      </c>
      <c r="L473" s="5">
        <v>5472</v>
      </c>
      <c r="M473" s="5">
        <v>103297</v>
      </c>
      <c r="N473" s="5" t="s">
        <v>20</v>
      </c>
      <c r="O473" s="5">
        <v>54</v>
      </c>
      <c r="P473" s="5">
        <v>2</v>
      </c>
      <c r="Q473" s="15" t="str">
        <f t="shared" si="23"/>
        <v>Average</v>
      </c>
      <c r="R473" s="6" t="s">
        <v>21</v>
      </c>
    </row>
    <row r="474" spans="1:18" x14ac:dyDescent="0.3">
      <c r="A474" s="4">
        <v>473</v>
      </c>
      <c r="B474" s="5" t="s">
        <v>508</v>
      </c>
      <c r="C474" s="5">
        <v>55</v>
      </c>
      <c r="D474" s="12" t="str">
        <f t="shared" si="21"/>
        <v>Senior</v>
      </c>
      <c r="E474" s="5" t="s">
        <v>23</v>
      </c>
      <c r="F474" s="5" t="s">
        <v>17</v>
      </c>
      <c r="G474" s="5" t="s">
        <v>18</v>
      </c>
      <c r="H474" s="5" t="s">
        <v>19</v>
      </c>
      <c r="I474" s="5">
        <v>12</v>
      </c>
      <c r="J474" s="12" t="str">
        <f t="shared" si="22"/>
        <v>Senior</v>
      </c>
      <c r="K474" s="5">
        <v>1473</v>
      </c>
      <c r="L474" s="5">
        <v>5473</v>
      </c>
      <c r="M474" s="5">
        <v>35223</v>
      </c>
      <c r="N474" s="5" t="s">
        <v>20</v>
      </c>
      <c r="O474" s="5">
        <v>33</v>
      </c>
      <c r="P474" s="5">
        <v>1</v>
      </c>
      <c r="Q474" s="15" t="str">
        <f t="shared" si="23"/>
        <v>Poor</v>
      </c>
      <c r="R474" s="6" t="s">
        <v>40</v>
      </c>
    </row>
    <row r="475" spans="1:18" x14ac:dyDescent="0.3">
      <c r="A475" s="4">
        <v>474</v>
      </c>
      <c r="B475" s="5" t="s">
        <v>509</v>
      </c>
      <c r="C475" s="5">
        <v>37</v>
      </c>
      <c r="D475" s="12" t="str">
        <f t="shared" si="21"/>
        <v>Mid Age</v>
      </c>
      <c r="E475" s="5" t="s">
        <v>16</v>
      </c>
      <c r="F475" s="5" t="s">
        <v>43</v>
      </c>
      <c r="G475" s="5" t="s">
        <v>25</v>
      </c>
      <c r="H475" s="5" t="s">
        <v>26</v>
      </c>
      <c r="I475" s="5">
        <v>10</v>
      </c>
      <c r="J475" s="12" t="str">
        <f t="shared" si="22"/>
        <v>Mid-level</v>
      </c>
      <c r="K475" s="5">
        <v>1474</v>
      </c>
      <c r="L475" s="5">
        <v>5474</v>
      </c>
      <c r="M475" s="5">
        <v>92237</v>
      </c>
      <c r="N475" s="5" t="s">
        <v>30</v>
      </c>
      <c r="O475" s="5">
        <v>50</v>
      </c>
      <c r="P475" s="5">
        <v>1</v>
      </c>
      <c r="Q475" s="15" t="str">
        <f t="shared" si="23"/>
        <v>Poor</v>
      </c>
      <c r="R475" s="6" t="s">
        <v>21</v>
      </c>
    </row>
    <row r="476" spans="1:18" x14ac:dyDescent="0.3">
      <c r="A476" s="4">
        <v>475</v>
      </c>
      <c r="B476" s="5" t="s">
        <v>510</v>
      </c>
      <c r="C476" s="5">
        <v>58</v>
      </c>
      <c r="D476" s="12" t="str">
        <f t="shared" si="21"/>
        <v>Senior</v>
      </c>
      <c r="E476" s="5" t="s">
        <v>16</v>
      </c>
      <c r="F476" s="5" t="s">
        <v>17</v>
      </c>
      <c r="G476" s="5" t="s">
        <v>46</v>
      </c>
      <c r="H476" s="5" t="s">
        <v>19</v>
      </c>
      <c r="I476" s="5">
        <v>4</v>
      </c>
      <c r="J476" s="12" t="str">
        <f t="shared" si="22"/>
        <v>Junior</v>
      </c>
      <c r="K476" s="5">
        <v>1475</v>
      </c>
      <c r="L476" s="5">
        <v>5475</v>
      </c>
      <c r="M476" s="5">
        <v>22597</v>
      </c>
      <c r="N476" s="5" t="s">
        <v>27</v>
      </c>
      <c r="O476" s="5">
        <v>38</v>
      </c>
      <c r="P476" s="5">
        <v>1</v>
      </c>
      <c r="Q476" s="15" t="str">
        <f t="shared" si="23"/>
        <v>Poor</v>
      </c>
      <c r="R476" s="6" t="s">
        <v>40</v>
      </c>
    </row>
    <row r="477" spans="1:18" x14ac:dyDescent="0.3">
      <c r="A477" s="4">
        <v>476</v>
      </c>
      <c r="B477" s="5" t="s">
        <v>511</v>
      </c>
      <c r="C477" s="5">
        <v>51</v>
      </c>
      <c r="D477" s="12" t="str">
        <f t="shared" si="21"/>
        <v>Senior</v>
      </c>
      <c r="E477" s="5" t="s">
        <v>16</v>
      </c>
      <c r="F477" s="5" t="s">
        <v>43</v>
      </c>
      <c r="G477" s="5" t="s">
        <v>46</v>
      </c>
      <c r="H477" s="5" t="s">
        <v>26</v>
      </c>
      <c r="I477" s="5">
        <v>0</v>
      </c>
      <c r="J477" s="12" t="str">
        <f t="shared" si="22"/>
        <v>Beginner</v>
      </c>
      <c r="K477" s="5">
        <v>1476</v>
      </c>
      <c r="L477" s="5">
        <v>5476</v>
      </c>
      <c r="M477" s="5">
        <v>85677</v>
      </c>
      <c r="N477" s="5" t="s">
        <v>38</v>
      </c>
      <c r="O477" s="5">
        <v>27</v>
      </c>
      <c r="P477" s="5">
        <v>4</v>
      </c>
      <c r="Q477" s="15" t="str">
        <f t="shared" si="23"/>
        <v>Excellent</v>
      </c>
      <c r="R477" s="6" t="s">
        <v>21</v>
      </c>
    </row>
    <row r="478" spans="1:18" x14ac:dyDescent="0.3">
      <c r="A478" s="4">
        <v>477</v>
      </c>
      <c r="B478" s="5" t="s">
        <v>512</v>
      </c>
      <c r="C478" s="5">
        <v>43</v>
      </c>
      <c r="D478" s="12" t="str">
        <f t="shared" si="21"/>
        <v>Elder</v>
      </c>
      <c r="E478" s="5" t="s">
        <v>23</v>
      </c>
      <c r="F478" s="5" t="s">
        <v>24</v>
      </c>
      <c r="G478" s="5" t="s">
        <v>18</v>
      </c>
      <c r="H478" s="5" t="s">
        <v>29</v>
      </c>
      <c r="I478" s="5">
        <v>2</v>
      </c>
      <c r="J478" s="12" t="str">
        <f t="shared" si="22"/>
        <v>Beginner</v>
      </c>
      <c r="K478" s="5">
        <v>1477</v>
      </c>
      <c r="L478" s="5">
        <v>5477</v>
      </c>
      <c r="M478" s="5">
        <v>22659</v>
      </c>
      <c r="N478" s="5" t="s">
        <v>20</v>
      </c>
      <c r="O478" s="5">
        <v>98</v>
      </c>
      <c r="P478" s="5">
        <v>2</v>
      </c>
      <c r="Q478" s="15" t="str">
        <f t="shared" si="23"/>
        <v>Average</v>
      </c>
      <c r="R478" s="6" t="s">
        <v>21</v>
      </c>
    </row>
    <row r="479" spans="1:18" x14ac:dyDescent="0.3">
      <c r="A479" s="4">
        <v>478</v>
      </c>
      <c r="B479" s="5" t="s">
        <v>513</v>
      </c>
      <c r="C479" s="5">
        <v>42</v>
      </c>
      <c r="D479" s="12" t="str">
        <f t="shared" si="21"/>
        <v>Elder</v>
      </c>
      <c r="E479" s="5" t="s">
        <v>16</v>
      </c>
      <c r="F479" s="5" t="s">
        <v>43</v>
      </c>
      <c r="G479" s="5" t="s">
        <v>25</v>
      </c>
      <c r="H479" s="5" t="s">
        <v>29</v>
      </c>
      <c r="I479" s="5">
        <v>18</v>
      </c>
      <c r="J479" s="12" t="str">
        <f t="shared" si="22"/>
        <v>Expert</v>
      </c>
      <c r="K479" s="5">
        <v>1478</v>
      </c>
      <c r="L479" s="5">
        <v>5478</v>
      </c>
      <c r="M479" s="5">
        <v>106516</v>
      </c>
      <c r="N479" s="5" t="s">
        <v>38</v>
      </c>
      <c r="O479" s="5">
        <v>15</v>
      </c>
      <c r="P479" s="5">
        <v>1</v>
      </c>
      <c r="Q479" s="15" t="str">
        <f t="shared" si="23"/>
        <v>Poor</v>
      </c>
      <c r="R479" s="6" t="s">
        <v>40</v>
      </c>
    </row>
    <row r="480" spans="1:18" x14ac:dyDescent="0.3">
      <c r="A480" s="4">
        <v>479</v>
      </c>
      <c r="B480" s="5" t="s">
        <v>514</v>
      </c>
      <c r="C480" s="5">
        <v>51</v>
      </c>
      <c r="D480" s="12" t="str">
        <f t="shared" si="21"/>
        <v>Senior</v>
      </c>
      <c r="E480" s="5" t="s">
        <v>23</v>
      </c>
      <c r="F480" s="5" t="s">
        <v>24</v>
      </c>
      <c r="G480" s="5" t="s">
        <v>25</v>
      </c>
      <c r="H480" s="5" t="s">
        <v>19</v>
      </c>
      <c r="I480" s="5">
        <v>6</v>
      </c>
      <c r="J480" s="12" t="str">
        <f t="shared" si="22"/>
        <v>Mid-level</v>
      </c>
      <c r="K480" s="5">
        <v>1479</v>
      </c>
      <c r="L480" s="5">
        <v>5479</v>
      </c>
      <c r="M480" s="5">
        <v>94567</v>
      </c>
      <c r="N480" s="5" t="s">
        <v>27</v>
      </c>
      <c r="O480" s="5">
        <v>96</v>
      </c>
      <c r="P480" s="5">
        <v>2</v>
      </c>
      <c r="Q480" s="15" t="str">
        <f t="shared" si="23"/>
        <v>Average</v>
      </c>
      <c r="R480" s="6" t="s">
        <v>40</v>
      </c>
    </row>
    <row r="481" spans="1:18" x14ac:dyDescent="0.3">
      <c r="A481" s="4">
        <v>480</v>
      </c>
      <c r="B481" s="5" t="s">
        <v>515</v>
      </c>
      <c r="C481" s="5">
        <v>56</v>
      </c>
      <c r="D481" s="12" t="str">
        <f t="shared" si="21"/>
        <v>Senior</v>
      </c>
      <c r="E481" s="5" t="s">
        <v>16</v>
      </c>
      <c r="F481" s="5" t="s">
        <v>43</v>
      </c>
      <c r="G481" s="5" t="s">
        <v>46</v>
      </c>
      <c r="H481" s="5" t="s">
        <v>26</v>
      </c>
      <c r="I481" s="5">
        <v>11</v>
      </c>
      <c r="J481" s="12" t="str">
        <f t="shared" si="22"/>
        <v>Senior</v>
      </c>
      <c r="K481" s="5">
        <v>1480</v>
      </c>
      <c r="L481" s="5">
        <v>5480</v>
      </c>
      <c r="M481" s="5">
        <v>35037</v>
      </c>
      <c r="N481" s="5" t="s">
        <v>27</v>
      </c>
      <c r="O481" s="5">
        <v>61</v>
      </c>
      <c r="P481" s="5">
        <v>4</v>
      </c>
      <c r="Q481" s="15" t="str">
        <f t="shared" si="23"/>
        <v>Excellent</v>
      </c>
      <c r="R481" s="6" t="s">
        <v>21</v>
      </c>
    </row>
    <row r="482" spans="1:18" x14ac:dyDescent="0.3">
      <c r="A482" s="4">
        <v>481</v>
      </c>
      <c r="B482" s="5" t="s">
        <v>516</v>
      </c>
      <c r="C482" s="5">
        <v>31</v>
      </c>
      <c r="D482" s="12" t="str">
        <f t="shared" si="21"/>
        <v>Mid Age</v>
      </c>
      <c r="E482" s="5" t="s">
        <v>23</v>
      </c>
      <c r="F482" s="5" t="s">
        <v>45</v>
      </c>
      <c r="G482" s="5" t="s">
        <v>25</v>
      </c>
      <c r="H482" s="5" t="s">
        <v>26</v>
      </c>
      <c r="I482" s="5">
        <v>14</v>
      </c>
      <c r="J482" s="12" t="str">
        <f t="shared" si="22"/>
        <v>Senior</v>
      </c>
      <c r="K482" s="5">
        <v>1481</v>
      </c>
      <c r="L482" s="5">
        <v>5481</v>
      </c>
      <c r="M482" s="5">
        <v>66738</v>
      </c>
      <c r="N482" s="5" t="s">
        <v>38</v>
      </c>
      <c r="O482" s="5">
        <v>21</v>
      </c>
      <c r="P482" s="5">
        <v>3</v>
      </c>
      <c r="Q482" s="15" t="str">
        <f t="shared" si="23"/>
        <v>Good</v>
      </c>
      <c r="R482" s="6" t="s">
        <v>36</v>
      </c>
    </row>
    <row r="483" spans="1:18" x14ac:dyDescent="0.3">
      <c r="A483" s="4">
        <v>482</v>
      </c>
      <c r="B483" s="5" t="s">
        <v>517</v>
      </c>
      <c r="C483" s="5">
        <v>32</v>
      </c>
      <c r="D483" s="12" t="str">
        <f t="shared" si="21"/>
        <v>Mid Age</v>
      </c>
      <c r="E483" s="5" t="s">
        <v>23</v>
      </c>
      <c r="F483" s="5" t="s">
        <v>24</v>
      </c>
      <c r="G483" s="5" t="s">
        <v>25</v>
      </c>
      <c r="H483" s="5" t="s">
        <v>19</v>
      </c>
      <c r="I483" s="5">
        <v>4</v>
      </c>
      <c r="J483" s="12" t="str">
        <f t="shared" si="22"/>
        <v>Junior</v>
      </c>
      <c r="K483" s="5">
        <v>1482</v>
      </c>
      <c r="L483" s="5">
        <v>5482</v>
      </c>
      <c r="M483" s="5">
        <v>91678</v>
      </c>
      <c r="N483" s="5" t="s">
        <v>27</v>
      </c>
      <c r="O483" s="5">
        <v>46</v>
      </c>
      <c r="P483" s="5">
        <v>1</v>
      </c>
      <c r="Q483" s="15" t="str">
        <f t="shared" si="23"/>
        <v>Poor</v>
      </c>
      <c r="R483" s="6" t="s">
        <v>31</v>
      </c>
    </row>
    <row r="484" spans="1:18" x14ac:dyDescent="0.3">
      <c r="A484" s="4">
        <v>483</v>
      </c>
      <c r="B484" s="5" t="s">
        <v>518</v>
      </c>
      <c r="C484" s="5">
        <v>42</v>
      </c>
      <c r="D484" s="12" t="str">
        <f t="shared" si="21"/>
        <v>Elder</v>
      </c>
      <c r="E484" s="5" t="s">
        <v>16</v>
      </c>
      <c r="F484" s="5" t="s">
        <v>43</v>
      </c>
      <c r="G484" s="5" t="s">
        <v>25</v>
      </c>
      <c r="H484" s="5" t="s">
        <v>26</v>
      </c>
      <c r="I484" s="5">
        <v>14</v>
      </c>
      <c r="J484" s="12" t="str">
        <f t="shared" si="22"/>
        <v>Senior</v>
      </c>
      <c r="K484" s="5">
        <v>1483</v>
      </c>
      <c r="L484" s="5">
        <v>5483</v>
      </c>
      <c r="M484" s="5">
        <v>32109</v>
      </c>
      <c r="N484" s="5" t="s">
        <v>20</v>
      </c>
      <c r="O484" s="5">
        <v>69</v>
      </c>
      <c r="P484" s="5">
        <v>2</v>
      </c>
      <c r="Q484" s="15" t="str">
        <f t="shared" si="23"/>
        <v>Average</v>
      </c>
      <c r="R484" s="6" t="s">
        <v>36</v>
      </c>
    </row>
    <row r="485" spans="1:18" x14ac:dyDescent="0.3">
      <c r="A485" s="4">
        <v>484</v>
      </c>
      <c r="B485" s="5" t="s">
        <v>519</v>
      </c>
      <c r="C485" s="5">
        <v>44</v>
      </c>
      <c r="D485" s="12" t="str">
        <f t="shared" si="21"/>
        <v>Elder</v>
      </c>
      <c r="E485" s="5" t="s">
        <v>23</v>
      </c>
      <c r="F485" s="5" t="s">
        <v>45</v>
      </c>
      <c r="G485" s="5" t="s">
        <v>33</v>
      </c>
      <c r="H485" s="5" t="s">
        <v>29</v>
      </c>
      <c r="I485" s="5">
        <v>7</v>
      </c>
      <c r="J485" s="12" t="str">
        <f t="shared" si="22"/>
        <v>Mid-level</v>
      </c>
      <c r="K485" s="5">
        <v>1484</v>
      </c>
      <c r="L485" s="5">
        <v>5484</v>
      </c>
      <c r="M485" s="5">
        <v>42010</v>
      </c>
      <c r="N485" s="5" t="s">
        <v>38</v>
      </c>
      <c r="O485" s="5">
        <v>6</v>
      </c>
      <c r="P485" s="5">
        <v>2</v>
      </c>
      <c r="Q485" s="15" t="str">
        <f t="shared" si="23"/>
        <v>Average</v>
      </c>
      <c r="R485" s="6" t="s">
        <v>36</v>
      </c>
    </row>
    <row r="486" spans="1:18" x14ac:dyDescent="0.3">
      <c r="A486" s="4">
        <v>485</v>
      </c>
      <c r="B486" s="5" t="s">
        <v>520</v>
      </c>
      <c r="C486" s="5">
        <v>54</v>
      </c>
      <c r="D486" s="12" t="str">
        <f t="shared" si="21"/>
        <v>Senior</v>
      </c>
      <c r="E486" s="5" t="s">
        <v>23</v>
      </c>
      <c r="F486" s="5" t="s">
        <v>24</v>
      </c>
      <c r="G486" s="5" t="s">
        <v>18</v>
      </c>
      <c r="H486" s="5" t="s">
        <v>19</v>
      </c>
      <c r="I486" s="5">
        <v>9</v>
      </c>
      <c r="J486" s="12" t="str">
        <f t="shared" si="22"/>
        <v>Mid-level</v>
      </c>
      <c r="K486" s="5">
        <v>1485</v>
      </c>
      <c r="L486" s="5">
        <v>5485</v>
      </c>
      <c r="M486" s="5">
        <v>28787</v>
      </c>
      <c r="N486" s="5" t="s">
        <v>27</v>
      </c>
      <c r="O486" s="5">
        <v>38</v>
      </c>
      <c r="P486" s="5">
        <v>4</v>
      </c>
      <c r="Q486" s="15" t="str">
        <f t="shared" si="23"/>
        <v>Excellent</v>
      </c>
      <c r="R486" s="6" t="s">
        <v>40</v>
      </c>
    </row>
    <row r="487" spans="1:18" x14ac:dyDescent="0.3">
      <c r="A487" s="4">
        <v>486</v>
      </c>
      <c r="B487" s="5" t="s">
        <v>521</v>
      </c>
      <c r="C487" s="5">
        <v>49</v>
      </c>
      <c r="D487" s="12" t="str">
        <f t="shared" si="21"/>
        <v>Elder</v>
      </c>
      <c r="E487" s="5" t="s">
        <v>16</v>
      </c>
      <c r="F487" s="5" t="s">
        <v>45</v>
      </c>
      <c r="G487" s="5" t="s">
        <v>46</v>
      </c>
      <c r="H487" s="5" t="s">
        <v>19</v>
      </c>
      <c r="I487" s="5">
        <v>15</v>
      </c>
      <c r="J487" s="12" t="str">
        <f t="shared" si="22"/>
        <v>Senior</v>
      </c>
      <c r="K487" s="5">
        <v>1486</v>
      </c>
      <c r="L487" s="5">
        <v>5486</v>
      </c>
      <c r="M487" s="5">
        <v>28472</v>
      </c>
      <c r="N487" s="5" t="s">
        <v>38</v>
      </c>
      <c r="O487" s="5">
        <v>62</v>
      </c>
      <c r="P487" s="5">
        <v>1</v>
      </c>
      <c r="Q487" s="15" t="str">
        <f t="shared" si="23"/>
        <v>Poor</v>
      </c>
      <c r="R487" s="6" t="s">
        <v>31</v>
      </c>
    </row>
    <row r="488" spans="1:18" x14ac:dyDescent="0.3">
      <c r="A488" s="4">
        <v>487</v>
      </c>
      <c r="B488" s="5" t="s">
        <v>522</v>
      </c>
      <c r="C488" s="5">
        <v>36</v>
      </c>
      <c r="D488" s="12" t="str">
        <f t="shared" si="21"/>
        <v>Mid Age</v>
      </c>
      <c r="E488" s="5" t="s">
        <v>23</v>
      </c>
      <c r="F488" s="5" t="s">
        <v>17</v>
      </c>
      <c r="G488" s="5" t="s">
        <v>46</v>
      </c>
      <c r="H488" s="5" t="s">
        <v>26</v>
      </c>
      <c r="I488" s="5">
        <v>7</v>
      </c>
      <c r="J488" s="12" t="str">
        <f t="shared" si="22"/>
        <v>Mid-level</v>
      </c>
      <c r="K488" s="5">
        <v>1487</v>
      </c>
      <c r="L488" s="5">
        <v>5487</v>
      </c>
      <c r="M488" s="5">
        <v>43383</v>
      </c>
      <c r="N488" s="5" t="s">
        <v>20</v>
      </c>
      <c r="O488" s="5">
        <v>86</v>
      </c>
      <c r="P488" s="5">
        <v>3</v>
      </c>
      <c r="Q488" s="15" t="str">
        <f t="shared" si="23"/>
        <v>Good</v>
      </c>
      <c r="R488" s="6" t="s">
        <v>36</v>
      </c>
    </row>
    <row r="489" spans="1:18" x14ac:dyDescent="0.3">
      <c r="A489" s="4">
        <v>488</v>
      </c>
      <c r="B489" s="5" t="s">
        <v>523</v>
      </c>
      <c r="C489" s="5">
        <v>39</v>
      </c>
      <c r="D489" s="12" t="str">
        <f t="shared" si="21"/>
        <v>Mid Age</v>
      </c>
      <c r="E489" s="5" t="s">
        <v>16</v>
      </c>
      <c r="F489" s="5" t="s">
        <v>17</v>
      </c>
      <c r="G489" s="5" t="s">
        <v>33</v>
      </c>
      <c r="H489" s="5" t="s">
        <v>19</v>
      </c>
      <c r="I489" s="5">
        <v>0</v>
      </c>
      <c r="J489" s="12" t="str">
        <f t="shared" si="22"/>
        <v>Beginner</v>
      </c>
      <c r="K489" s="5">
        <v>1488</v>
      </c>
      <c r="L489" s="5">
        <v>5488</v>
      </c>
      <c r="M489" s="5">
        <v>81709</v>
      </c>
      <c r="N489" s="5" t="s">
        <v>27</v>
      </c>
      <c r="O489" s="5">
        <v>62</v>
      </c>
      <c r="P489" s="5">
        <v>2</v>
      </c>
      <c r="Q489" s="15" t="str">
        <f t="shared" si="23"/>
        <v>Average</v>
      </c>
      <c r="R489" s="6" t="s">
        <v>40</v>
      </c>
    </row>
    <row r="490" spans="1:18" x14ac:dyDescent="0.3">
      <c r="A490" s="4">
        <v>489</v>
      </c>
      <c r="B490" s="5" t="s">
        <v>524</v>
      </c>
      <c r="C490" s="5">
        <v>44</v>
      </c>
      <c r="D490" s="12" t="str">
        <f t="shared" si="21"/>
        <v>Elder</v>
      </c>
      <c r="E490" s="5" t="s">
        <v>23</v>
      </c>
      <c r="F490" s="5" t="s">
        <v>24</v>
      </c>
      <c r="G490" s="5" t="s">
        <v>18</v>
      </c>
      <c r="H490" s="5" t="s">
        <v>26</v>
      </c>
      <c r="I490" s="5">
        <v>11</v>
      </c>
      <c r="J490" s="12" t="str">
        <f t="shared" si="22"/>
        <v>Senior</v>
      </c>
      <c r="K490" s="5">
        <v>1489</v>
      </c>
      <c r="L490" s="5">
        <v>5489</v>
      </c>
      <c r="M490" s="5">
        <v>89785</v>
      </c>
      <c r="N490" s="5" t="s">
        <v>20</v>
      </c>
      <c r="O490" s="5">
        <v>82</v>
      </c>
      <c r="P490" s="5">
        <v>1</v>
      </c>
      <c r="Q490" s="15" t="str">
        <f t="shared" si="23"/>
        <v>Poor</v>
      </c>
      <c r="R490" s="6" t="s">
        <v>36</v>
      </c>
    </row>
    <row r="491" spans="1:18" x14ac:dyDescent="0.3">
      <c r="A491" s="4">
        <v>490</v>
      </c>
      <c r="B491" s="5" t="s">
        <v>525</v>
      </c>
      <c r="C491" s="5">
        <v>41</v>
      </c>
      <c r="D491" s="12" t="str">
        <f t="shared" si="21"/>
        <v>Elder</v>
      </c>
      <c r="E491" s="5" t="s">
        <v>16</v>
      </c>
      <c r="F491" s="5" t="s">
        <v>43</v>
      </c>
      <c r="G491" s="5" t="s">
        <v>46</v>
      </c>
      <c r="H491" s="5" t="s">
        <v>26</v>
      </c>
      <c r="I491" s="5">
        <v>4</v>
      </c>
      <c r="J491" s="12" t="str">
        <f t="shared" si="22"/>
        <v>Junior</v>
      </c>
      <c r="K491" s="5">
        <v>1490</v>
      </c>
      <c r="L491" s="5">
        <v>5490</v>
      </c>
      <c r="M491" s="5">
        <v>54518</v>
      </c>
      <c r="N491" s="5" t="s">
        <v>27</v>
      </c>
      <c r="O491" s="5">
        <v>78</v>
      </c>
      <c r="P491" s="5">
        <v>3</v>
      </c>
      <c r="Q491" s="15" t="str">
        <f t="shared" si="23"/>
        <v>Good</v>
      </c>
      <c r="R491" s="6" t="s">
        <v>36</v>
      </c>
    </row>
    <row r="492" spans="1:18" x14ac:dyDescent="0.3">
      <c r="A492" s="4">
        <v>491</v>
      </c>
      <c r="B492" s="5" t="s">
        <v>526</v>
      </c>
      <c r="C492" s="5">
        <v>32</v>
      </c>
      <c r="D492" s="12" t="str">
        <f t="shared" si="21"/>
        <v>Mid Age</v>
      </c>
      <c r="E492" s="5" t="s">
        <v>16</v>
      </c>
      <c r="F492" s="5" t="s">
        <v>24</v>
      </c>
      <c r="G492" s="5" t="s">
        <v>25</v>
      </c>
      <c r="H492" s="5" t="s">
        <v>26</v>
      </c>
      <c r="I492" s="5">
        <v>2</v>
      </c>
      <c r="J492" s="12" t="str">
        <f t="shared" si="22"/>
        <v>Beginner</v>
      </c>
      <c r="K492" s="5">
        <v>1491</v>
      </c>
      <c r="L492" s="5">
        <v>5491</v>
      </c>
      <c r="M492" s="5">
        <v>73909</v>
      </c>
      <c r="N492" s="5" t="s">
        <v>30</v>
      </c>
      <c r="O492" s="5">
        <v>74</v>
      </c>
      <c r="P492" s="5">
        <v>2</v>
      </c>
      <c r="Q492" s="15" t="str">
        <f t="shared" si="23"/>
        <v>Average</v>
      </c>
      <c r="R492" s="6" t="s">
        <v>40</v>
      </c>
    </row>
    <row r="493" spans="1:18" x14ac:dyDescent="0.3">
      <c r="A493" s="4">
        <v>492</v>
      </c>
      <c r="B493" s="5" t="s">
        <v>527</v>
      </c>
      <c r="C493" s="5">
        <v>38</v>
      </c>
      <c r="D493" s="12" t="str">
        <f t="shared" si="21"/>
        <v>Mid Age</v>
      </c>
      <c r="E493" s="5" t="s">
        <v>23</v>
      </c>
      <c r="F493" s="5" t="s">
        <v>45</v>
      </c>
      <c r="G493" s="5" t="s">
        <v>46</v>
      </c>
      <c r="H493" s="5" t="s">
        <v>26</v>
      </c>
      <c r="I493" s="5">
        <v>0</v>
      </c>
      <c r="J493" s="12" t="str">
        <f t="shared" si="22"/>
        <v>Beginner</v>
      </c>
      <c r="K493" s="5">
        <v>1492</v>
      </c>
      <c r="L493" s="5">
        <v>5492</v>
      </c>
      <c r="M493" s="5">
        <v>38351</v>
      </c>
      <c r="N493" s="5" t="s">
        <v>27</v>
      </c>
      <c r="O493" s="5">
        <v>46</v>
      </c>
      <c r="P493" s="5">
        <v>2</v>
      </c>
      <c r="Q493" s="15" t="str">
        <f t="shared" si="23"/>
        <v>Average</v>
      </c>
      <c r="R493" s="6" t="s">
        <v>40</v>
      </c>
    </row>
    <row r="494" spans="1:18" x14ac:dyDescent="0.3">
      <c r="A494" s="4">
        <v>493</v>
      </c>
      <c r="B494" s="5" t="s">
        <v>528</v>
      </c>
      <c r="C494" s="5">
        <v>55</v>
      </c>
      <c r="D494" s="12" t="str">
        <f t="shared" si="21"/>
        <v>Senior</v>
      </c>
      <c r="E494" s="5" t="s">
        <v>23</v>
      </c>
      <c r="F494" s="5" t="s">
        <v>43</v>
      </c>
      <c r="G494" s="5" t="s">
        <v>25</v>
      </c>
      <c r="H494" s="5" t="s">
        <v>26</v>
      </c>
      <c r="I494" s="5">
        <v>3</v>
      </c>
      <c r="J494" s="12" t="str">
        <f t="shared" si="22"/>
        <v>Junior</v>
      </c>
      <c r="K494" s="5">
        <v>1493</v>
      </c>
      <c r="L494" s="5">
        <v>5493</v>
      </c>
      <c r="M494" s="5">
        <v>89624</v>
      </c>
      <c r="N494" s="5" t="s">
        <v>38</v>
      </c>
      <c r="O494" s="5">
        <v>13</v>
      </c>
      <c r="P494" s="5">
        <v>3</v>
      </c>
      <c r="Q494" s="15" t="str">
        <f t="shared" si="23"/>
        <v>Good</v>
      </c>
      <c r="R494" s="6" t="s">
        <v>40</v>
      </c>
    </row>
    <row r="495" spans="1:18" x14ac:dyDescent="0.3">
      <c r="A495" s="4">
        <v>494</v>
      </c>
      <c r="B495" s="5" t="s">
        <v>529</v>
      </c>
      <c r="C495" s="5">
        <v>31</v>
      </c>
      <c r="D495" s="12" t="str">
        <f t="shared" si="21"/>
        <v>Mid Age</v>
      </c>
      <c r="E495" s="5" t="s">
        <v>23</v>
      </c>
      <c r="F495" s="5" t="s">
        <v>17</v>
      </c>
      <c r="G495" s="5" t="s">
        <v>33</v>
      </c>
      <c r="H495" s="5" t="s">
        <v>19</v>
      </c>
      <c r="I495" s="5">
        <v>7</v>
      </c>
      <c r="J495" s="12" t="str">
        <f t="shared" si="22"/>
        <v>Mid-level</v>
      </c>
      <c r="K495" s="5">
        <v>1494</v>
      </c>
      <c r="L495" s="5">
        <v>5494</v>
      </c>
      <c r="M495" s="5">
        <v>73330</v>
      </c>
      <c r="N495" s="5" t="s">
        <v>27</v>
      </c>
      <c r="O495" s="5">
        <v>95</v>
      </c>
      <c r="P495" s="5">
        <v>3</v>
      </c>
      <c r="Q495" s="15" t="str">
        <f t="shared" si="23"/>
        <v>Good</v>
      </c>
      <c r="R495" s="6" t="s">
        <v>31</v>
      </c>
    </row>
    <row r="496" spans="1:18" x14ac:dyDescent="0.3">
      <c r="A496" s="4">
        <v>495</v>
      </c>
      <c r="B496" s="5" t="s">
        <v>530</v>
      </c>
      <c r="C496" s="5">
        <v>38</v>
      </c>
      <c r="D496" s="12" t="str">
        <f t="shared" si="21"/>
        <v>Mid Age</v>
      </c>
      <c r="E496" s="5" t="s">
        <v>23</v>
      </c>
      <c r="F496" s="5" t="s">
        <v>43</v>
      </c>
      <c r="G496" s="5" t="s">
        <v>25</v>
      </c>
      <c r="H496" s="5" t="s">
        <v>29</v>
      </c>
      <c r="I496" s="5">
        <v>2</v>
      </c>
      <c r="J496" s="12" t="str">
        <f t="shared" si="22"/>
        <v>Beginner</v>
      </c>
      <c r="K496" s="5">
        <v>1495</v>
      </c>
      <c r="L496" s="5">
        <v>5495</v>
      </c>
      <c r="M496" s="5">
        <v>35282</v>
      </c>
      <c r="N496" s="5" t="s">
        <v>20</v>
      </c>
      <c r="O496" s="5">
        <v>94</v>
      </c>
      <c r="P496" s="5">
        <v>4</v>
      </c>
      <c r="Q496" s="15" t="str">
        <f t="shared" si="23"/>
        <v>Excellent</v>
      </c>
      <c r="R496" s="6" t="s">
        <v>36</v>
      </c>
    </row>
    <row r="497" spans="1:18" x14ac:dyDescent="0.3">
      <c r="A497" s="4">
        <v>496</v>
      </c>
      <c r="B497" s="5" t="s">
        <v>531</v>
      </c>
      <c r="C497" s="5">
        <v>31</v>
      </c>
      <c r="D497" s="12" t="str">
        <f t="shared" si="21"/>
        <v>Mid Age</v>
      </c>
      <c r="E497" s="5" t="s">
        <v>23</v>
      </c>
      <c r="F497" s="5" t="s">
        <v>17</v>
      </c>
      <c r="G497" s="5" t="s">
        <v>46</v>
      </c>
      <c r="H497" s="5" t="s">
        <v>29</v>
      </c>
      <c r="I497" s="5">
        <v>9</v>
      </c>
      <c r="J497" s="12" t="str">
        <f t="shared" si="22"/>
        <v>Mid-level</v>
      </c>
      <c r="K497" s="5">
        <v>1496</v>
      </c>
      <c r="L497" s="5">
        <v>5496</v>
      </c>
      <c r="M497" s="5">
        <v>104866</v>
      </c>
      <c r="N497" s="5" t="s">
        <v>20</v>
      </c>
      <c r="O497" s="5">
        <v>3</v>
      </c>
      <c r="P497" s="5">
        <v>1</v>
      </c>
      <c r="Q497" s="15" t="str">
        <f t="shared" si="23"/>
        <v>Poor</v>
      </c>
      <c r="R497" s="6" t="s">
        <v>40</v>
      </c>
    </row>
    <row r="498" spans="1:18" x14ac:dyDescent="0.3">
      <c r="A498" s="4">
        <v>497</v>
      </c>
      <c r="B498" s="5" t="s">
        <v>532</v>
      </c>
      <c r="C498" s="5">
        <v>28</v>
      </c>
      <c r="D498" s="12" t="str">
        <f t="shared" si="21"/>
        <v>Young</v>
      </c>
      <c r="E498" s="5" t="s">
        <v>16</v>
      </c>
      <c r="F498" s="5" t="s">
        <v>43</v>
      </c>
      <c r="G498" s="5" t="s">
        <v>46</v>
      </c>
      <c r="H498" s="5" t="s">
        <v>19</v>
      </c>
      <c r="I498" s="5">
        <v>1</v>
      </c>
      <c r="J498" s="12" t="str">
        <f t="shared" si="22"/>
        <v>Beginner</v>
      </c>
      <c r="K498" s="5">
        <v>1497</v>
      </c>
      <c r="L498" s="5">
        <v>5497</v>
      </c>
      <c r="M498" s="5">
        <v>41778</v>
      </c>
      <c r="N498" s="5" t="s">
        <v>27</v>
      </c>
      <c r="O498" s="5">
        <v>94</v>
      </c>
      <c r="P498" s="5">
        <v>1</v>
      </c>
      <c r="Q498" s="15" t="str">
        <f t="shared" si="23"/>
        <v>Poor</v>
      </c>
      <c r="R498" s="6" t="s">
        <v>21</v>
      </c>
    </row>
    <row r="499" spans="1:18" x14ac:dyDescent="0.3">
      <c r="A499" s="4">
        <v>498</v>
      </c>
      <c r="B499" s="5" t="s">
        <v>533</v>
      </c>
      <c r="C499" s="5">
        <v>26</v>
      </c>
      <c r="D499" s="12" t="str">
        <f t="shared" si="21"/>
        <v>Young</v>
      </c>
      <c r="E499" s="5" t="s">
        <v>23</v>
      </c>
      <c r="F499" s="5" t="s">
        <v>43</v>
      </c>
      <c r="G499" s="5" t="s">
        <v>46</v>
      </c>
      <c r="H499" s="5" t="s">
        <v>19</v>
      </c>
      <c r="I499" s="5">
        <v>10</v>
      </c>
      <c r="J499" s="12" t="str">
        <f t="shared" si="22"/>
        <v>Mid-level</v>
      </c>
      <c r="K499" s="5">
        <v>1498</v>
      </c>
      <c r="L499" s="5">
        <v>5498</v>
      </c>
      <c r="M499" s="5">
        <v>44264</v>
      </c>
      <c r="N499" s="5" t="s">
        <v>38</v>
      </c>
      <c r="O499" s="5">
        <v>6</v>
      </c>
      <c r="P499" s="5">
        <v>4</v>
      </c>
      <c r="Q499" s="15" t="str">
        <f t="shared" si="23"/>
        <v>Excellent</v>
      </c>
      <c r="R499" s="6" t="s">
        <v>36</v>
      </c>
    </row>
    <row r="500" spans="1:18" x14ac:dyDescent="0.3">
      <c r="A500" s="4">
        <v>499</v>
      </c>
      <c r="B500" s="5" t="s">
        <v>534</v>
      </c>
      <c r="C500" s="5">
        <v>47</v>
      </c>
      <c r="D500" s="12" t="str">
        <f t="shared" si="21"/>
        <v>Elder</v>
      </c>
      <c r="E500" s="5" t="s">
        <v>16</v>
      </c>
      <c r="F500" s="5" t="s">
        <v>43</v>
      </c>
      <c r="G500" s="5" t="s">
        <v>33</v>
      </c>
      <c r="H500" s="5" t="s">
        <v>29</v>
      </c>
      <c r="I500" s="5">
        <v>9</v>
      </c>
      <c r="J500" s="12" t="str">
        <f t="shared" si="22"/>
        <v>Mid-level</v>
      </c>
      <c r="K500" s="5">
        <v>1499</v>
      </c>
      <c r="L500" s="5">
        <v>5499</v>
      </c>
      <c r="M500" s="5">
        <v>79675</v>
      </c>
      <c r="N500" s="5" t="s">
        <v>30</v>
      </c>
      <c r="O500" s="5">
        <v>93</v>
      </c>
      <c r="P500" s="5">
        <v>2</v>
      </c>
      <c r="Q500" s="15" t="str">
        <f t="shared" si="23"/>
        <v>Average</v>
      </c>
      <c r="R500" s="6" t="s">
        <v>21</v>
      </c>
    </row>
    <row r="501" spans="1:18" x14ac:dyDescent="0.3">
      <c r="A501" s="7">
        <v>500</v>
      </c>
      <c r="B501" s="8" t="s">
        <v>535</v>
      </c>
      <c r="C501" s="8">
        <v>33</v>
      </c>
      <c r="D501" s="13" t="str">
        <f t="shared" si="21"/>
        <v>Mid Age</v>
      </c>
      <c r="E501" s="8" t="s">
        <v>16</v>
      </c>
      <c r="F501" s="8" t="s">
        <v>45</v>
      </c>
      <c r="G501" s="8" t="s">
        <v>33</v>
      </c>
      <c r="H501" s="8" t="s">
        <v>29</v>
      </c>
      <c r="I501" s="8">
        <v>13</v>
      </c>
      <c r="J501" s="13" t="str">
        <f t="shared" si="22"/>
        <v>Senior</v>
      </c>
      <c r="K501" s="8">
        <v>1500</v>
      </c>
      <c r="L501" s="8">
        <v>5500</v>
      </c>
      <c r="M501" s="8">
        <v>25075</v>
      </c>
      <c r="N501" s="8" t="s">
        <v>38</v>
      </c>
      <c r="O501" s="8">
        <v>8</v>
      </c>
      <c r="P501" s="8">
        <v>3</v>
      </c>
      <c r="Q501" s="16" t="str">
        <f t="shared" si="23"/>
        <v>Good</v>
      </c>
      <c r="R501" s="9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prajna</dc:creator>
  <cp:lastModifiedBy>Prajna Mondal</cp:lastModifiedBy>
  <dcterms:created xsi:type="dcterms:W3CDTF">2025-12-07T15:00:23Z</dcterms:created>
  <dcterms:modified xsi:type="dcterms:W3CDTF">2025-12-16T15:11:26Z</dcterms:modified>
</cp:coreProperties>
</file>